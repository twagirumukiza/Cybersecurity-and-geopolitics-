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3"/>
    <sheet name="分析阶段" sheetId="2" state="visible" r:id="rId4"/>
    <sheet name="依赖类别" sheetId="3" state="visible" r:id="rId5"/>
    <sheet name="评估表" sheetId="4" state="visible" r:id="rId6"/>
    <sheet name="汇总" sheetId="5" state="visible" r:id="rId7"/>
    <sheet name="参数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<sst xmlns="http://schemas.openxmlformats.org/spreadsheetml/2006/main" count="242" uniqueCount="180">
  <si>
    <t xml:space="preserve">地缘政治维度整合矩阵：工作簿</t>
  </si>
  <si>
    <r>
      <rPr>
        <i val="true"/>
        <sz val="10"/>
        <color rgb="FF555555"/>
        <rFont val="Noto Sans CJK SC"/>
        <family val="2"/>
      </rPr>
      <t xml:space="preserve">《数字依赖与组织韧性》（</t>
    </r>
    <r>
      <rPr>
        <i val="true"/>
        <sz val="10"/>
        <color rgb="FF555555"/>
        <rFont val="Microsoft YaHei"/>
        <family val="0"/>
        <charset val="1"/>
      </rPr>
      <t xml:space="preserve">Innocent Twagirumukiza</t>
    </r>
    <r>
      <rPr>
        <i val="true"/>
        <sz val="10"/>
        <color rgb="FF555555"/>
        <rFont val="Noto Sans CJK SC"/>
        <family val="2"/>
      </rPr>
      <t xml:space="preserve">，</t>
    </r>
    <r>
      <rPr>
        <i val="true"/>
        <sz val="10"/>
        <color rgb="FF555555"/>
        <rFont val="Microsoft YaHei"/>
        <family val="0"/>
        <charset val="1"/>
      </rPr>
      <t xml:space="preserve">2026</t>
    </r>
    <r>
      <rPr>
        <i val="true"/>
        <sz val="10"/>
        <color rgb="FF555555"/>
        <rFont val="Noto Sans CJK SC"/>
        <family val="2"/>
      </rPr>
      <t xml:space="preserve">年</t>
    </r>
    <r>
      <rPr>
        <i val="true"/>
        <sz val="10"/>
        <color rgb="FF555555"/>
        <rFont val="Microsoft YaHei"/>
        <family val="0"/>
        <charset val="1"/>
      </rPr>
      <t xml:space="preserve">10</t>
    </r>
    <r>
      <rPr>
        <i val="true"/>
        <sz val="10"/>
        <color rgb="FF555555"/>
        <rFont val="Noto Sans CJK SC"/>
        <family val="2"/>
      </rPr>
      <t xml:space="preserve">月）配套工具，对应第</t>
    </r>
    <r>
      <rPr>
        <i val="true"/>
        <sz val="10"/>
        <color rgb="FF555555"/>
        <rFont val="Microsoft YaHei"/>
        <family val="0"/>
        <charset val="1"/>
      </rPr>
      <t xml:space="preserve">3.6</t>
    </r>
    <r>
      <rPr>
        <i val="true"/>
        <sz val="10"/>
        <color rgb="FF555555"/>
        <rFont val="Noto Sans CJK SC"/>
        <family val="2"/>
      </rPr>
      <t xml:space="preserve">节</t>
    </r>
  </si>
  <si>
    <t xml:space="preserve">本工作簿的用途</t>
  </si>
  <si>
    <r>
      <rPr>
        <sz val="10"/>
        <rFont val="Noto Sans CJK SC"/>
        <family val="2"/>
      </rPr>
      <t xml:space="preserve">它帮助在网络风险分析的每个阶段纳入地缘政治维度，而不把它变成又一个分值。论文的分析框架（</t>
    </r>
    <r>
      <rPr>
        <sz val="10"/>
        <rFont val="Microsoft YaHei"/>
        <family val="0"/>
        <charset val="1"/>
      </rPr>
      <t xml:space="preserve">3.4</t>
    </r>
    <r>
      <rPr>
        <sz val="10"/>
        <rFont val="Noto Sans CJK SC"/>
        <family val="2"/>
      </rPr>
      <t xml:space="preserve">）衡量结构性暴露；地缘政治层单独评定，并对优先级起调节作用。</t>
    </r>
  </si>
  <si>
    <t xml:space="preserve">使用方法</t>
  </si>
  <si>
    <r>
      <rPr>
        <sz val="10"/>
        <rFont val="Microsoft YaHei"/>
        <family val="0"/>
        <charset val="1"/>
      </rPr>
      <t xml:space="preserve">1. “</t>
    </r>
    <r>
      <rPr>
        <sz val="10"/>
        <rFont val="Noto Sans CJK SC"/>
        <family val="2"/>
      </rPr>
      <t xml:space="preserve">分析阶段”工作表：找到当前所处的分析阶段，并提出相应的地缘政治问题。</t>
    </r>
  </si>
  <si>
    <r>
      <rPr>
        <sz val="10"/>
        <rFont val="Microsoft YaHei"/>
        <family val="0"/>
        <charset val="1"/>
      </rPr>
      <t xml:space="preserve">2. “</t>
    </r>
    <r>
      <rPr>
        <sz val="10"/>
        <rFont val="Noto Sans CJK SC"/>
        <family val="2"/>
      </rPr>
      <t xml:space="preserve">依赖类别”工作表：对每一项已绘入图谱的依赖，确定其类别及可能的地缘政治杠杆。</t>
    </r>
  </si>
  <si>
    <r>
      <rPr>
        <sz val="10"/>
        <rFont val="Microsoft YaHei"/>
        <family val="0"/>
        <charset val="1"/>
      </rPr>
      <t xml:space="preserve">3. “</t>
    </r>
    <r>
      <rPr>
        <sz val="10"/>
        <rFont val="Noto Sans CJK SC"/>
        <family val="2"/>
      </rPr>
      <t xml:space="preserve">评估表”工作表：每项依赖一行。填写蓝色单元格（下拉列表）：四个暴露维度、韧性，然后是三个地缘政治调节因子。</t>
    </r>
  </si>
  <si>
    <r>
      <rPr>
        <sz val="10"/>
        <rFont val="Microsoft YaHei"/>
        <family val="0"/>
        <charset val="1"/>
      </rPr>
      <t xml:space="preserve">4. </t>
    </r>
    <r>
      <rPr>
        <sz val="10"/>
        <rFont val="Noto Sans CJK SC"/>
        <family val="2"/>
      </rPr>
      <t xml:space="preserve">填写证据等级（</t>
    </r>
    <r>
      <rPr>
        <sz val="10"/>
        <rFont val="Microsoft YaHei"/>
        <family val="0"/>
        <charset val="1"/>
      </rPr>
      <t xml:space="preserve">A</t>
    </r>
    <r>
      <rPr>
        <sz val="10"/>
        <rFont val="Noto Sans CJK SC"/>
        <family val="2"/>
      </rPr>
      <t xml:space="preserve">至</t>
    </r>
    <r>
      <rPr>
        <sz val="10"/>
        <rFont val="Microsoft YaHei"/>
        <family val="0"/>
        <charset val="1"/>
      </rPr>
      <t xml:space="preserve">D</t>
    </r>
    <r>
      <rPr>
        <sz val="10"/>
        <rFont val="Noto Sans CJK SC"/>
        <family val="2"/>
      </rPr>
      <t xml:space="preserve">）、信号来源和复核日期。如果激活程度为高但没有确立关联，或缺少证据等级，“检查”列会出现提示。</t>
    </r>
  </si>
  <si>
    <r>
      <rPr>
        <sz val="10"/>
        <rFont val="Microsoft YaHei"/>
        <family val="0"/>
        <charset val="1"/>
      </rPr>
      <t xml:space="preserve">5. </t>
    </r>
    <r>
      <rPr>
        <sz val="10"/>
        <rFont val="Noto Sans CJK SC"/>
        <family val="2"/>
      </rPr>
      <t xml:space="preserve">查看结果：结构性暴露、地缘政治激活程度、韧性调整前后的优先级。最后选择决策：减少、分散、监控或抵消。</t>
    </r>
  </si>
  <si>
    <r>
      <rPr>
        <sz val="10"/>
        <rFont val="Microsoft YaHei"/>
        <family val="0"/>
        <charset val="1"/>
      </rPr>
      <t xml:space="preserve">6. “</t>
    </r>
    <r>
      <rPr>
        <sz val="10"/>
        <rFont val="Noto Sans CJK SC"/>
        <family val="2"/>
      </rPr>
      <t xml:space="preserve">汇总”工作表：按优先级和类别统计依赖的分布。</t>
    </r>
  </si>
  <si>
    <r>
      <rPr>
        <sz val="10"/>
        <rFont val="Microsoft YaHei"/>
        <family val="0"/>
        <charset val="1"/>
      </rPr>
      <t xml:space="preserve">7. “</t>
    </r>
    <r>
      <rPr>
        <sz val="10"/>
        <rFont val="Noto Sans CJK SC"/>
        <family val="2"/>
      </rPr>
      <t xml:space="preserve">参数”工作表：阈值和优先级矩阵可以修改，应按行业加以校准。</t>
    </r>
  </si>
  <si>
    <t xml:space="preserve">图例</t>
  </si>
  <si>
    <r>
      <rPr>
        <sz val="10"/>
        <rFont val="Noto Sans CJK SC"/>
        <family val="2"/>
      </rPr>
      <t xml:space="preserve">奶油底色蓝字：需要填写的单元格。灰底黑字：公式，请勿修改。</t>
    </r>
    <r>
      <rPr>
        <sz val="10"/>
        <rFont val="Microsoft YaHei"/>
        <family val="0"/>
        <charset val="1"/>
      </rPr>
      <t xml:space="preserve">EX-01 </t>
    </r>
    <r>
      <rPr>
        <sz val="10"/>
        <rFont val="Noto Sans CJK SC"/>
        <family val="2"/>
      </rPr>
      <t xml:space="preserve">行是虚构示例（论文第</t>
    </r>
    <r>
      <rPr>
        <sz val="10"/>
        <rFont val="Microsoft YaHei"/>
        <family val="0"/>
        <charset val="1"/>
      </rPr>
      <t xml:space="preserve">7.6</t>
    </r>
    <r>
      <rPr>
        <sz val="10"/>
        <rFont val="Noto Sans CJK SC"/>
        <family val="2"/>
      </rPr>
      <t xml:space="preserve">节）：请替换或清空其内容。</t>
    </r>
  </si>
  <si>
    <t xml:space="preserve">计算规则（默认值）</t>
  </si>
  <si>
    <r>
      <rPr>
        <sz val="10"/>
        <rFont val="Noto Sans CJK SC"/>
        <family val="2"/>
      </rPr>
      <t xml:space="preserve">结构性暴露 </t>
    </r>
    <r>
      <rPr>
        <sz val="10"/>
        <rFont val="Microsoft YaHei"/>
        <family val="0"/>
        <charset val="1"/>
      </rPr>
      <t xml:space="preserve">= </t>
    </r>
    <r>
      <rPr>
        <sz val="10"/>
        <rFont val="Noto Sans CJK SC"/>
        <family val="2"/>
      </rPr>
      <t xml:space="preserve">四个维度的平均值（低 </t>
    </r>
    <r>
      <rPr>
        <sz val="10"/>
        <rFont val="Microsoft YaHei"/>
        <family val="0"/>
        <charset val="1"/>
      </rPr>
      <t xml:space="preserve">= 1</t>
    </r>
    <r>
      <rPr>
        <sz val="10"/>
        <rFont val="Noto Sans CJK SC"/>
        <family val="2"/>
      </rPr>
      <t xml:space="preserve">，中 </t>
    </r>
    <r>
      <rPr>
        <sz val="10"/>
        <rFont val="Microsoft YaHei"/>
        <family val="0"/>
        <charset val="1"/>
      </rPr>
      <t xml:space="preserve">= 2</t>
    </r>
    <r>
      <rPr>
        <sz val="10"/>
        <rFont val="Noto Sans CJK SC"/>
        <family val="2"/>
      </rPr>
      <t xml:space="preserve">，高 </t>
    </r>
    <r>
      <rPr>
        <sz val="10"/>
        <rFont val="Microsoft YaHei"/>
        <family val="0"/>
        <charset val="1"/>
      </rPr>
      <t xml:space="preserve">= 3</t>
    </r>
    <r>
      <rPr>
        <sz val="10"/>
        <rFont val="Noto Sans CJK SC"/>
        <family val="2"/>
      </rPr>
      <t xml:space="preserve">）。地缘政治激活程度 </t>
    </r>
    <r>
      <rPr>
        <sz val="10"/>
        <rFont val="Microsoft YaHei"/>
        <family val="0"/>
        <charset val="1"/>
      </rPr>
      <t xml:space="preserve">= </t>
    </r>
    <r>
      <rPr>
        <sz val="10"/>
        <rFont val="Noto Sans CJK SC"/>
        <family val="2"/>
      </rPr>
      <t xml:space="preserve">三个调节因子的平均值。阈值：平均值 ≥ </t>
    </r>
    <r>
      <rPr>
        <sz val="10"/>
        <rFont val="Microsoft YaHei"/>
        <family val="0"/>
        <charset val="1"/>
      </rPr>
      <t xml:space="preserve">2.5 </t>
    </r>
    <r>
      <rPr>
        <sz val="10"/>
        <rFont val="Noto Sans CJK SC"/>
        <family val="2"/>
      </rPr>
      <t xml:space="preserve">为高；≥ </t>
    </r>
    <r>
      <rPr>
        <sz val="10"/>
        <rFont val="Microsoft YaHei"/>
        <family val="0"/>
        <charset val="1"/>
      </rPr>
      <t xml:space="preserve">1.75 </t>
    </r>
    <r>
      <rPr>
        <sz val="10"/>
        <rFont val="Noto Sans CJK SC"/>
        <family val="2"/>
      </rPr>
      <t xml:space="preserve">为中；否则为低。</t>
    </r>
  </si>
  <si>
    <r>
      <rPr>
        <sz val="10"/>
        <rFont val="Noto Sans CJK SC"/>
        <family val="2"/>
      </rPr>
      <t xml:space="preserve">优先级 </t>
    </r>
    <r>
      <rPr>
        <sz val="10"/>
        <rFont val="Microsoft YaHei"/>
        <family val="0"/>
        <charset val="1"/>
      </rPr>
      <t xml:space="preserve">= </t>
    </r>
    <r>
      <rPr>
        <sz val="10"/>
        <rFont val="Noto Sans CJK SC"/>
        <family val="2"/>
      </rPr>
      <t xml:space="preserve">暴露 </t>
    </r>
    <r>
      <rPr>
        <sz val="10"/>
        <rFont val="Microsoft YaHei"/>
        <family val="0"/>
        <charset val="1"/>
      </rPr>
      <t xml:space="preserve">× </t>
    </r>
    <r>
      <rPr>
        <sz val="10"/>
        <rFont val="Noto Sans CJK SC"/>
        <family val="2"/>
      </rPr>
      <t xml:space="preserve">激活程度的交叉结果（“参数”工作表）。韧性低：优先级上调一级；韧性强：下调一级。</t>
    </r>
  </si>
  <si>
    <t xml:space="preserve">性质</t>
  </si>
  <si>
    <r>
      <rPr>
        <sz val="10"/>
        <rFont val="Noto Sans CJK SC"/>
        <family val="2"/>
      </rPr>
      <t xml:space="preserve">这是作者提出的参考性方案。阈值和规则未经实证验证：须按行业校准，并提交给实务工作者检验（见论文</t>
    </r>
    <r>
      <rPr>
        <sz val="10"/>
        <rFont val="Microsoft YaHei"/>
        <family val="0"/>
        <charset val="1"/>
      </rPr>
      <t xml:space="preserve">8.2</t>
    </r>
    <r>
      <rPr>
        <sz val="10"/>
        <rFont val="Noto Sans CJK SC"/>
        <family val="2"/>
      </rPr>
      <t xml:space="preserve">）。证据等级</t>
    </r>
    <r>
      <rPr>
        <sz val="10"/>
        <rFont val="Microsoft YaHei"/>
        <family val="0"/>
        <charset val="1"/>
      </rPr>
      <t xml:space="preserve">A</t>
    </r>
    <r>
      <rPr>
        <sz val="10"/>
        <rFont val="Noto Sans CJK SC"/>
        <family val="2"/>
      </rPr>
      <t xml:space="preserve">至</t>
    </r>
    <r>
      <rPr>
        <sz val="10"/>
        <rFont val="Microsoft YaHei"/>
        <family val="0"/>
        <charset val="1"/>
      </rPr>
      <t xml:space="preserve">D</t>
    </r>
    <r>
      <rPr>
        <sz val="10"/>
        <rFont val="Noto Sans CJK SC"/>
        <family val="2"/>
      </rPr>
      <t xml:space="preserve">沿用论文（</t>
    </r>
    <r>
      <rPr>
        <sz val="10"/>
        <rFont val="Microsoft YaHei"/>
        <family val="0"/>
        <charset val="1"/>
      </rPr>
      <t xml:space="preserve">4.4</t>
    </r>
    <r>
      <rPr>
        <sz val="10"/>
        <rFont val="Noto Sans CJK SC"/>
        <family val="2"/>
      </rPr>
      <t xml:space="preserve">）的定义；对于正在分析的依赖，它们用来说明地缘政治信号的来源。</t>
    </r>
  </si>
  <si>
    <r>
      <rPr>
        <sz val="10"/>
        <rFont val="Noto Sans CJK SC"/>
        <family val="2"/>
      </rPr>
      <t xml:space="preserve">论文：</t>
    </r>
    <r>
      <rPr>
        <sz val="10"/>
        <rFont val="Microsoft YaHei"/>
        <family val="0"/>
        <charset val="1"/>
      </rPr>
      <t xml:space="preserve">https://twagirumukiza.github.io/Cybersecurity-and-geopolitics-/</t>
    </r>
  </si>
  <si>
    <r>
      <rPr>
        <b val="true"/>
        <sz val="14"/>
        <color rgb="FF0D47A1"/>
        <rFont val="Noto Sans CJK SC"/>
        <family val="2"/>
      </rPr>
      <t xml:space="preserve">矩阵</t>
    </r>
    <r>
      <rPr>
        <b val="true"/>
        <sz val="14"/>
        <color rgb="FF0D47A1"/>
        <rFont val="Microsoft YaHei"/>
        <family val="0"/>
        <charset val="1"/>
      </rPr>
      <t xml:space="preserve">1</t>
    </r>
    <r>
      <rPr>
        <b val="true"/>
        <sz val="14"/>
        <color rgb="FF0D47A1"/>
        <rFont val="Noto Sans CJK SC"/>
        <family val="2"/>
      </rPr>
      <t xml:space="preserve">：分析阶段 </t>
    </r>
    <r>
      <rPr>
        <b val="true"/>
        <sz val="14"/>
        <color rgb="FF0D47A1"/>
        <rFont val="Microsoft YaHei"/>
        <family val="0"/>
        <charset val="1"/>
      </rPr>
      <t xml:space="preserve">× </t>
    </r>
    <r>
      <rPr>
        <b val="true"/>
        <sz val="14"/>
        <color rgb="FF0D47A1"/>
        <rFont val="Noto Sans CJK SC"/>
        <family val="2"/>
      </rPr>
      <t xml:space="preserve">地缘政治问题</t>
    </r>
  </si>
  <si>
    <t xml:space="preserve">序号</t>
  </si>
  <si>
    <t xml:space="preserve">阶段</t>
  </si>
  <si>
    <t xml:space="preserve">应提出的地缘政治问题</t>
  </si>
  <si>
    <t xml:space="preserve">可参考的可观察因素</t>
  </si>
  <si>
    <t xml:space="preserve">成果</t>
  </si>
  <si>
    <t xml:space="preserve">论文章节</t>
  </si>
  <si>
    <t xml:space="preserve">界定范围</t>
  </si>
  <si>
    <t xml:space="preserve">如果国际环境恶化，哪些关键职能会受到影响？</t>
  </si>
  <si>
    <t xml:space="preserve">所属行业、境外业务、在关键基础设施中的角色</t>
  </si>
  <si>
    <t xml:space="preserve">关键职能与依赖边界</t>
  </si>
  <si>
    <t xml:space="preserve">3.1</t>
  </si>
  <si>
    <t xml:space="preserve">绘制图谱</t>
  </si>
  <si>
    <t xml:space="preserve">我们依赖哪些外部资源（一级和二级、硬件、人工智能），它们位于何处或在法律上归属何处？</t>
  </si>
  <si>
    <t xml:space="preserve">所在地、适用的司法管辖、二级分包商、组件来源</t>
  </si>
  <si>
    <t xml:space="preserve">按五类划分的依赖清单</t>
  </si>
  <si>
    <t xml:space="preserve">7.1</t>
  </si>
  <si>
    <t xml:space="preserve">情景设定</t>
  </si>
  <si>
    <t xml:space="preserve">每项依赖可能被施加何种地缘政治杠杆？</t>
  </si>
  <si>
    <t xml:space="preserve">国家行动、制裁、出口管制、对核心节点施压、附带效应</t>
  </si>
  <si>
    <t xml:space="preserve">网络与非网络情景</t>
  </si>
  <si>
    <t xml:space="preserve">3.3</t>
  </si>
  <si>
    <t xml:space="preserve">评估</t>
  </si>
  <si>
    <t xml:space="preserve">五个维度的评级是什么？单独评定的地缘政治激活程度是什么？</t>
  </si>
  <si>
    <t xml:space="preserve">贸易限制、外交紧张、产业集中、法律约束、制裁、获得维护的难度</t>
  </si>
  <si>
    <t xml:space="preserve">每项依赖的评估表（“评估表”工作表）</t>
  </si>
  <si>
    <r>
      <rPr>
        <sz val="10"/>
        <rFont val="Microsoft YaHei"/>
        <family val="0"/>
        <charset val="1"/>
      </rPr>
      <t xml:space="preserve">3.4</t>
    </r>
    <r>
      <rPr>
        <sz val="10"/>
        <rFont val="Noto Sans CJK SC"/>
        <family val="2"/>
      </rPr>
      <t xml:space="preserve">、</t>
    </r>
    <r>
      <rPr>
        <sz val="10"/>
        <rFont val="Microsoft YaHei"/>
        <family val="0"/>
        <charset val="1"/>
      </rPr>
      <t xml:space="preserve">4.4</t>
    </r>
  </si>
  <si>
    <t xml:space="preserve">处置</t>
  </si>
  <si>
    <t xml:space="preserve">应当减少、分散、监控还是抵消这项依赖？</t>
  </si>
  <si>
    <t xml:space="preserve">替代时间、退出策略、备份协议</t>
  </si>
  <si>
    <t xml:space="preserve">有理有据的治理决策</t>
  </si>
  <si>
    <t xml:space="preserve">7.6</t>
  </si>
  <si>
    <t xml:space="preserve">测试</t>
  </si>
  <si>
    <r>
      <rPr>
        <sz val="10"/>
        <rFont val="Noto Sans CJK SC"/>
        <family val="2"/>
      </rPr>
      <t xml:space="preserve">如果该资源缺失</t>
    </r>
    <r>
      <rPr>
        <sz val="10"/>
        <rFont val="Microsoft YaHei"/>
        <family val="0"/>
        <charset val="1"/>
      </rPr>
      <t xml:space="preserve">48</t>
    </r>
    <r>
      <rPr>
        <sz val="10"/>
        <rFont val="Noto Sans CJK SC"/>
        <family val="2"/>
      </rPr>
      <t xml:space="preserve">小时、一周、一个月，这项职能会怎样？</t>
    </r>
  </si>
  <si>
    <t xml:space="preserve">降级程序、自主运行时长</t>
  </si>
  <si>
    <t xml:space="preserve">更新后的韧性评级</t>
  </si>
  <si>
    <t xml:space="preserve">7.3</t>
  </si>
  <si>
    <t xml:space="preserve">监测与复核</t>
  </si>
  <si>
    <t xml:space="preserve">哪些信号会触发对地缘政治层的重新评估？</t>
  </si>
  <si>
    <t xml:space="preserve">新的限制措施、制裁、官方归因、机构出版物</t>
  </si>
  <si>
    <t xml:space="preserve">复核日程与触发条件</t>
  </si>
  <si>
    <t xml:space="preserve">7.2</t>
  </si>
  <si>
    <r>
      <rPr>
        <b val="true"/>
        <sz val="14"/>
        <color rgb="FF0D47A1"/>
        <rFont val="Noto Sans CJK SC"/>
        <family val="2"/>
      </rPr>
      <t xml:space="preserve">矩阵</t>
    </r>
    <r>
      <rPr>
        <b val="true"/>
        <sz val="14"/>
        <color rgb="FF0D47A1"/>
        <rFont val="Microsoft YaHei"/>
        <family val="0"/>
        <charset val="1"/>
      </rPr>
      <t xml:space="preserve">2</t>
    </r>
    <r>
      <rPr>
        <b val="true"/>
        <sz val="14"/>
        <color rgb="FF0D47A1"/>
        <rFont val="Noto Sans CJK SC"/>
        <family val="2"/>
      </rPr>
      <t xml:space="preserve">：依赖类别 </t>
    </r>
    <r>
      <rPr>
        <b val="true"/>
        <sz val="14"/>
        <color rgb="FF0D47A1"/>
        <rFont val="Microsoft YaHei"/>
        <family val="0"/>
        <charset val="1"/>
      </rPr>
      <t xml:space="preserve">× </t>
    </r>
    <r>
      <rPr>
        <b val="true"/>
        <sz val="14"/>
        <color rgb="FF0D47A1"/>
        <rFont val="Noto Sans CJK SC"/>
        <family val="2"/>
      </rPr>
      <t xml:space="preserve">地缘政治杠杆</t>
    </r>
  </si>
  <si>
    <t xml:space="preserve">类别</t>
  </si>
  <si>
    <t xml:space="preserve">可能的地缘政治杠杆</t>
  </si>
  <si>
    <t xml:space="preserve">需要关注的因素</t>
  </si>
  <si>
    <t xml:space="preserve">参考案例（证据等级）</t>
  </si>
  <si>
    <t xml:space="preserve">软件</t>
  </si>
  <si>
    <t xml:space="preserve">针对供应商的国家行动，对其施加的法律约束</t>
  </si>
  <si>
    <t xml:space="preserve">供应商的司法管辖、工具权限、更新渠道</t>
  </si>
  <si>
    <r>
      <rPr>
        <sz val="10"/>
        <rFont val="Microsoft YaHei"/>
        <family val="0"/>
        <charset val="1"/>
      </rPr>
      <t xml:space="preserve">SolarWinds</t>
    </r>
    <r>
      <rPr>
        <sz val="10"/>
        <rFont val="Noto Sans CJK SC"/>
        <family val="2"/>
      </rPr>
      <t xml:space="preserve">、</t>
    </r>
    <r>
      <rPr>
        <sz val="10"/>
        <rFont val="Microsoft YaHei"/>
        <family val="0"/>
        <charset val="1"/>
      </rPr>
      <t xml:space="preserve">NotPetya</t>
    </r>
    <r>
      <rPr>
        <sz val="10"/>
        <rFont val="Noto Sans CJK SC"/>
        <family val="2"/>
      </rPr>
      <t xml:space="preserve">（</t>
    </r>
    <r>
      <rPr>
        <sz val="10"/>
        <rFont val="Microsoft YaHei"/>
        <family val="0"/>
        <charset val="1"/>
      </rPr>
      <t xml:space="preserve">A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</si>
  <si>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工业（</t>
    </r>
    <r>
      <rPr>
        <b val="true"/>
        <sz val="10"/>
        <rFont val="Microsoft YaHei"/>
        <family val="0"/>
        <charset val="1"/>
      </rPr>
      <t xml:space="preserve">OT</t>
    </r>
    <r>
      <rPr>
        <b val="true"/>
        <sz val="10"/>
        <rFont val="Noto Sans CJK SC"/>
        <family val="2"/>
      </rPr>
      <t xml:space="preserve">）</t>
    </r>
  </si>
  <si>
    <t xml:space="preserve">对关键基础设施的破坏</t>
  </si>
  <si>
    <t xml:space="preserve">远程访问、是否保留手动程序</t>
  </si>
  <si>
    <r>
      <rPr>
        <sz val="10"/>
        <rFont val="Noto Sans CJK SC"/>
        <family val="2"/>
      </rPr>
      <t xml:space="preserve">乌克兰电网（</t>
    </r>
    <r>
      <rPr>
        <sz val="10"/>
        <rFont val="Microsoft YaHei"/>
        <family val="0"/>
        <charset val="1"/>
      </rPr>
      <t xml:space="preserve">A</t>
    </r>
    <r>
      <rPr>
        <sz val="10"/>
        <rFont val="Noto Sans CJK SC"/>
        <family val="2"/>
      </rPr>
      <t xml:space="preserve">）</t>
    </r>
  </si>
  <si>
    <t xml:space="preserve">服务中介</t>
  </si>
  <si>
    <t xml:space="preserve">对核心节点施压，冲突的附带效应</t>
  </si>
  <si>
    <t xml:space="preserve">服务商的市场份额、行业集中度</t>
  </si>
  <si>
    <r>
      <rPr>
        <sz val="10"/>
        <rFont val="Microsoft YaHei"/>
        <family val="0"/>
        <charset val="1"/>
      </rPr>
      <t xml:space="preserve">Change Healthcare</t>
    </r>
    <r>
      <rPr>
        <sz val="10"/>
        <rFont val="Noto Sans CJK SC"/>
        <family val="2"/>
      </rPr>
      <t xml:space="preserve">（</t>
    </r>
    <r>
      <rPr>
        <sz val="10"/>
        <rFont val="Microsoft YaHei"/>
        <family val="0"/>
        <charset val="1"/>
      </rPr>
      <t xml:space="preserve">C</t>
    </r>
    <r>
      <rPr>
        <sz val="10"/>
        <rFont val="Noto Sans CJK SC"/>
        <family val="2"/>
      </rPr>
      <t xml:space="preserve">）</t>
    </r>
  </si>
  <si>
    <t xml:space="preserve">硬件</t>
  </si>
  <si>
    <t xml:space="preserve">出口限制、制裁</t>
  </si>
  <si>
    <t xml:space="preserve">某一国家在精炼和制造环节中的占比</t>
  </si>
  <si>
    <r>
      <rPr>
        <sz val="10"/>
        <rFont val="Noto Sans CJK SC"/>
        <family val="2"/>
      </rPr>
      <t xml:space="preserve">稀土（</t>
    </r>
    <r>
      <rPr>
        <sz val="10"/>
        <rFont val="Microsoft YaHei"/>
        <family val="0"/>
        <charset val="1"/>
      </rPr>
      <t xml:space="preserve">D</t>
    </r>
    <r>
      <rPr>
        <sz val="10"/>
        <rFont val="Noto Sans CJK SC"/>
        <family val="2"/>
      </rPr>
      <t xml:space="preserve">）</t>
    </r>
  </si>
  <si>
    <t xml:space="preserve">算法</t>
  </si>
  <si>
    <t xml:space="preserve">对算力组件的出口管制，适用的司法管辖</t>
  </si>
  <si>
    <t xml:space="preserve">算力所在地、监管框架的稳定性</t>
  </si>
  <si>
    <r>
      <rPr>
        <sz val="10"/>
        <rFont val="Noto Sans CJK SC"/>
        <family val="2"/>
      </rPr>
      <t xml:space="preserve">人工智能与算力（</t>
    </r>
    <r>
      <rPr>
        <sz val="10"/>
        <rFont val="Microsoft YaHei"/>
        <family val="0"/>
        <charset val="1"/>
      </rPr>
      <t xml:space="preserve">D</t>
    </r>
    <r>
      <rPr>
        <sz val="10"/>
        <rFont val="Noto Sans CJK SC"/>
        <family val="2"/>
      </rPr>
      <t xml:space="preserve">）</t>
    </r>
  </si>
  <si>
    <r>
      <rPr>
        <b val="true"/>
        <sz val="14"/>
        <color rgb="FF0D47A1"/>
        <rFont val="Noto Sans CJK SC"/>
        <family val="2"/>
      </rPr>
      <t xml:space="preserve">矩阵</t>
    </r>
    <r>
      <rPr>
        <b val="true"/>
        <sz val="14"/>
        <color rgb="FF0D47A1"/>
        <rFont val="Microsoft YaHei"/>
        <family val="0"/>
        <charset val="1"/>
      </rPr>
      <t xml:space="preserve">3</t>
    </r>
    <r>
      <rPr>
        <b val="true"/>
        <sz val="14"/>
        <color rgb="FF0D47A1"/>
        <rFont val="Noto Sans CJK SC"/>
        <family val="2"/>
      </rPr>
      <t xml:space="preserve">：每项依赖的分析评估表（地缘政治层与优先级排序）</t>
    </r>
  </si>
  <si>
    <r>
      <rPr>
        <i val="true"/>
        <sz val="10"/>
        <color rgb="FF555555"/>
        <rFont val="Noto Sans CJK SC"/>
        <family val="2"/>
      </rPr>
      <t xml:space="preserve">蓝色单元格：需要填写（下拉列表）。灰色单元格：自动计算。</t>
    </r>
    <r>
      <rPr>
        <i val="true"/>
        <sz val="10"/>
        <color rgb="FF555555"/>
        <rFont val="Microsoft YaHei"/>
        <family val="0"/>
        <charset val="1"/>
      </rPr>
      <t xml:space="preserve">EX-01 </t>
    </r>
    <r>
      <rPr>
        <i val="true"/>
        <sz val="10"/>
        <color rgb="FF555555"/>
        <rFont val="Noto Sans CJK SC"/>
        <family val="2"/>
      </rPr>
      <t xml:space="preserve">行：需要替换的虚构示例。</t>
    </r>
  </si>
  <si>
    <t xml:space="preserve">标识</t>
  </si>
  <si>
    <r>
      <rPr>
        <b val="true"/>
        <sz val="10"/>
        <color rgb="FFFFFFFF"/>
        <rFont val="Noto Sans CJK SC"/>
        <family val="2"/>
      </rPr>
      <t xml:space="preserve">结构性框架（</t>
    </r>
    <r>
      <rPr>
        <b val="true"/>
        <sz val="10"/>
        <color rgb="FFFFFFFF"/>
        <rFont val="Microsoft YaHei"/>
        <family val="0"/>
        <charset val="1"/>
      </rPr>
      <t xml:space="preserve">3.4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</si>
  <si>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地缘政治层（</t>
    </r>
    <r>
      <rPr>
        <b val="true"/>
        <sz val="10"/>
        <color rgb="FFFFFFFF"/>
        <rFont val="Microsoft YaHei"/>
        <family val="0"/>
        <charset val="1"/>
      </rPr>
      <t xml:space="preserve">3.6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</si>
  <si>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结果</t>
  </si>
  <si>
    <t xml:space="preserve">决策与复核</t>
  </si>
  <si>
    <t xml:space="preserve">中间计算</t>
  </si>
  <si>
    <t xml:space="preserve">编号</t>
  </si>
  <si>
    <t xml:space="preserve">依赖（资源或供应商）</t>
  </si>
  <si>
    <t xml:space="preserve">所支撑的关键职能</t>
  </si>
  <si>
    <t xml:space="preserve">依赖</t>
  </si>
  <si>
    <t xml:space="preserve">集中度</t>
  </si>
  <si>
    <t xml:space="preserve">可替代性</t>
  </si>
  <si>
    <t xml:space="preserve">传导</t>
  </si>
  <si>
    <t xml:space="preserve">韧性</t>
  </si>
  <si>
    <t xml:space="preserve">被瞄准的概率</t>
  </si>
  <si>
    <t xml:space="preserve">中断的可能持续时间</t>
  </si>
  <si>
    <t xml:space="preserve">获得维护和更新的难度</t>
  </si>
  <si>
    <r>
      <rPr>
        <b val="true"/>
        <sz val="10"/>
        <color rgb="FFFFFFFF"/>
        <rFont val="Noto Sans CJK SC"/>
        <family val="2"/>
      </rPr>
      <t xml:space="preserve">证据等级（</t>
    </r>
    <r>
      <rPr>
        <b val="true"/>
        <sz val="10"/>
        <color rgb="FFFFFFFF"/>
        <rFont val="Microsoft YaHei"/>
        <family val="0"/>
        <charset val="1"/>
      </rPr>
      <t xml:space="preserve">A</t>
    </r>
    <r>
      <rPr>
        <b val="true"/>
        <sz val="10"/>
        <color rgb="FFFFFFFF"/>
        <rFont val="Noto Sans CJK SC"/>
        <family val="2"/>
      </rPr>
      <t xml:space="preserve">至</t>
    </r>
    <r>
      <rPr>
        <b val="true"/>
        <sz val="10"/>
        <color rgb="FFFFFFFF"/>
        <rFont val="Microsoft YaHei"/>
        <family val="0"/>
        <charset val="1"/>
      </rPr>
      <t xml:space="preserve">D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</si>
  <si>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信号来源</t>
  </si>
  <si>
    <t xml:space="preserve">复核日期</t>
  </si>
  <si>
    <t xml:space="preserve">结构性暴露</t>
  </si>
  <si>
    <t xml:space="preserve">地缘政治激活程度</t>
  </si>
  <si>
    <t xml:space="preserve">韧性调整前优先级</t>
  </si>
  <si>
    <t xml:space="preserve">最终优先级</t>
  </si>
  <si>
    <t xml:space="preserve">检查</t>
  </si>
  <si>
    <t xml:space="preserve">所作决策</t>
  </si>
  <si>
    <t xml:space="preserve">复核触发条件</t>
  </si>
  <si>
    <t xml:space="preserve">暴露平均值</t>
  </si>
  <si>
    <r>
      <rPr>
        <b val="true"/>
        <sz val="10"/>
        <color rgb="FFFFFFFF"/>
        <rFont val="Noto Sans CJK SC"/>
        <family val="2"/>
      </rPr>
      <t xml:space="preserve">暴露等级（</t>
    </r>
    <r>
      <rPr>
        <b val="true"/>
        <sz val="10"/>
        <color rgb="FFFFFFFF"/>
        <rFont val="Microsoft YaHei"/>
        <family val="0"/>
        <charset val="1"/>
      </rPr>
      <t xml:space="preserve">1-3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</si>
  <si>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激活平均值</t>
  </si>
  <si>
    <r>
      <rPr>
        <b val="true"/>
        <sz val="10"/>
        <color rgb="FFFFFFFF"/>
        <rFont val="Noto Sans CJK SC"/>
        <family val="2"/>
      </rPr>
      <t xml:space="preserve">激活等级（</t>
    </r>
    <r>
      <rPr>
        <b val="true"/>
        <sz val="10"/>
        <color rgb="FFFFFFFF"/>
        <rFont val="Microsoft YaHei"/>
        <family val="0"/>
        <charset val="1"/>
      </rPr>
      <t xml:space="preserve">1-3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</si>
  <si>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基础优先级序号</t>
  </si>
  <si>
    <t xml:space="preserve">EX-01</t>
  </si>
  <si>
    <t xml:space="preserve">冷链监控系统，由服务商托管</t>
  </si>
  <si>
    <r>
      <rPr>
        <sz val="10"/>
        <color rgb="FF0000FF"/>
        <rFont val="Noto Sans CJK SC"/>
        <family val="2"/>
      </rPr>
      <t xml:space="preserve">工业（</t>
    </r>
    <r>
      <rPr>
        <sz val="10"/>
        <color rgb="FF0000FF"/>
        <rFont val="Microsoft YaHei"/>
        <family val="0"/>
        <charset val="1"/>
      </rPr>
      <t xml:space="preserve">OT</t>
    </r>
    <r>
      <rPr>
        <sz val="10"/>
        <color rgb="FF0000FF"/>
        <rFont val="Noto Sans CJK SC"/>
        <family val="2"/>
      </rPr>
      <t xml:space="preserve">）</t>
    </r>
  </si>
  <si>
    <t xml:space="preserve">维持所有场所的冷链运转</t>
  </si>
  <si>
    <t xml:space="preserve">高</t>
  </si>
  <si>
    <t xml:space="preserve">中</t>
  </si>
  <si>
    <t xml:space="preserve">低</t>
  </si>
  <si>
    <t xml:space="preserve">C</t>
  </si>
  <si>
    <r>
      <rPr>
        <sz val="10"/>
        <color rgb="FF0000FF"/>
        <rFont val="Noto Sans CJK SC"/>
        <family val="2"/>
      </rPr>
      <t xml:space="preserve">虚构示例（第</t>
    </r>
    <r>
      <rPr>
        <sz val="10"/>
        <color rgb="FF0000FF"/>
        <rFont val="Microsoft YaHei"/>
        <family val="0"/>
        <charset val="1"/>
      </rPr>
      <t xml:space="preserve">7.6</t>
    </r>
    <r>
      <rPr>
        <sz val="10"/>
        <color rgb="FF0000FF"/>
        <rFont val="Noto Sans CJK SC"/>
        <family val="2"/>
      </rPr>
      <t xml:space="preserve">节）：未发现地缘政治信号</t>
    </r>
  </si>
  <si>
    <t xml:space="preserve">2026-10</t>
  </si>
  <si>
    <t xml:space="preserve">抵消</t>
  </si>
  <si>
    <r>
      <rPr>
        <sz val="10"/>
        <color rgb="FF0000FF"/>
        <rFont val="Noto Sans CJK SC"/>
        <family val="2"/>
      </rPr>
      <t xml:space="preserve">影响托管方的新限制或紧张局势；</t>
    </r>
    <r>
      <rPr>
        <sz val="10"/>
        <color rgb="FF0000FF"/>
        <rFont val="Microsoft YaHei"/>
        <family val="0"/>
        <charset val="1"/>
      </rPr>
      <t xml:space="preserve">48</t>
    </r>
    <r>
      <rPr>
        <sz val="10"/>
        <color rgb="FF0000FF"/>
        <rFont val="Noto Sans CJK SC"/>
        <family val="2"/>
      </rPr>
      <t xml:space="preserve">小时演练未通过</t>
    </r>
  </si>
  <si>
    <t xml:space="preserve">已分析依赖的汇总</t>
  </si>
  <si>
    <t xml:space="preserve">按最终优先级分布</t>
  </si>
  <si>
    <t xml:space="preserve">优先级</t>
  </si>
  <si>
    <t xml:space="preserve">数量</t>
  </si>
  <si>
    <t xml:space="preserve">优先处理</t>
  </si>
  <si>
    <t xml:space="preserve">处理</t>
  </si>
  <si>
    <t xml:space="preserve">监控</t>
  </si>
  <si>
    <t xml:space="preserve">接受并跟踪</t>
  </si>
  <si>
    <t xml:space="preserve">接受</t>
  </si>
  <si>
    <t xml:space="preserve">合计</t>
  </si>
  <si>
    <t xml:space="preserve">按类别和优先级分布</t>
  </si>
  <si>
    <r>
      <rPr>
        <b val="true"/>
        <sz val="11"/>
        <rFont val="Noto Sans CJK SC"/>
        <family val="2"/>
      </rPr>
      <t xml:space="preserve">结构性暴露 </t>
    </r>
    <r>
      <rPr>
        <b val="true"/>
        <sz val="11"/>
        <rFont val="Microsoft YaHei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地缘政治激活程度（依赖数量）</t>
    </r>
  </si>
  <si>
    <r>
      <rPr>
        <b val="true"/>
        <sz val="10"/>
        <color rgb="FFFFFFFF"/>
        <rFont val="Noto Sans CJK SC"/>
        <family val="2"/>
      </rPr>
      <t xml:space="preserve">暴露 </t>
    </r>
    <r>
      <rPr>
        <b val="true"/>
        <sz val="10"/>
        <color rgb="FFFFFFFF"/>
        <rFont val="Microsoft YaHei"/>
        <family val="0"/>
        <charset val="1"/>
      </rPr>
      <t xml:space="preserve">\ </t>
    </r>
    <r>
      <rPr>
        <b val="true"/>
        <sz val="10"/>
        <color rgb="FFFFFFFF"/>
        <rFont val="Noto Sans CJK SC"/>
        <family val="2"/>
      </rPr>
      <t xml:space="preserve">激活</t>
    </r>
  </si>
  <si>
    <t xml:space="preserve">参数（可修改）</t>
  </si>
  <si>
    <t xml:space="preserve">暴露与激活等级（由低到高）</t>
  </si>
  <si>
    <t xml:space="preserve">韧性等级（由低到高）</t>
  </si>
  <si>
    <t xml:space="preserve">部分</t>
  </si>
  <si>
    <t xml:space="preserve">强</t>
  </si>
  <si>
    <t xml:space="preserve">平均值阈值</t>
  </si>
  <si>
    <t xml:space="preserve">“高”阈值（平均值 ≥）</t>
  </si>
  <si>
    <t xml:space="preserve">“中”阈值（平均值 ≥）</t>
  </si>
  <si>
    <t xml:space="preserve">优先级刻度（由低到高）</t>
  </si>
  <si>
    <t xml:space="preserve">基础优先级矩阵（行：暴露；列：激活）</t>
  </si>
  <si>
    <t xml:space="preserve">证据等级</t>
  </si>
  <si>
    <t xml:space="preserve">A</t>
  </si>
  <si>
    <t xml:space="preserve">有文献记录的官方归因或决定（公共机构、起诉书、正式措施）</t>
  </si>
  <si>
    <t xml:space="preserve">B</t>
  </si>
  <si>
    <t xml:space="preserve">有文献记录的地缘政治背景，但没有正式归因</t>
  </si>
  <si>
    <t xml:space="preserve">没有确立的地缘政治关联（仅有系统性影响）</t>
  </si>
  <si>
    <t xml:space="preserve">D</t>
  </si>
  <si>
    <t xml:space="preserve">由非网络性质的公共决策或政策造成的中断（限制、制裁、出口管制）</t>
  </si>
  <si>
    <r>
      <rPr>
        <i val="true"/>
        <sz val="10"/>
        <color rgb="FF555555"/>
        <rFont val="Noto Sans CJK SC"/>
        <family val="2"/>
      </rPr>
      <t xml:space="preserve">如果在两个等级之间存疑，则采用预设地缘政治关联最少的那一级（论文附录</t>
    </r>
    <r>
      <rPr>
        <i val="true"/>
        <sz val="10"/>
        <color rgb="FF555555"/>
        <rFont val="Microsoft YaHei"/>
        <family val="0"/>
        <charset val="1"/>
      </rPr>
      <t xml:space="preserve">A</t>
    </r>
    <r>
      <rPr>
        <i val="true"/>
        <sz val="10"/>
        <color rgb="FF555555"/>
        <rFont val="Noto Sans CJK SC"/>
        <family val="2"/>
      </rPr>
      <t xml:space="preserve">）。</t>
    </r>
  </si>
  <si>
    <t xml:space="preserve">依赖类别</t>
  </si>
  <si>
    <t xml:space="preserve">可选决策</t>
  </si>
  <si>
    <t xml:space="preserve">减少</t>
  </si>
  <si>
    <t xml:space="preserve">分散</t>
  </si>
  <si>
    <t xml:space="preserve">地缘政治调节因子评级指南</t>
  </si>
  <si>
    <t xml:space="preserve">调节因子</t>
  </si>
  <si>
    <t xml:space="preserve">没有影响该行业或供应商的紧张信号</t>
  </si>
  <si>
    <t xml:space="preserve">该行业存在有文献记录的紧张局势或归因</t>
  </si>
  <si>
    <t xml:space="preserve">针对该行业或供应商的活跃行动或归因</t>
  </si>
  <si>
    <t xml:space="preserve">一次性的技术事件</t>
  </si>
  <si>
    <t xml:space="preserve">限制可能持续数周</t>
  </si>
  <si>
    <t xml:space="preserve">持久的政治或法律限制（数月）</t>
  </si>
  <si>
    <t xml:space="preserve">维护在本地或由多个来源提供</t>
  </si>
  <si>
    <t xml:space="preserve">单一渠道，但可以绕开</t>
  </si>
  <si>
    <t xml:space="preserve">维护取决于可能加以阻断的某一机构或司法管辖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</si>
</sst>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D47A1"/>
      <name val="Noto Sans CJK SC"/>
      <family val="2"/>
    </font>
    <font>
      <i val="true"/>
      <sz val="10"/>
      <color rgb="FF555555"/>
      <name val="Noto Sans CJK SC"/>
      <family val="2"/>
    </font>
    <font>
      <i val="true"/>
      <sz val="10"/>
      <color rgb="FF555555"/>
      <name val="Microsoft YaHei"/>
      <family val="0"/>
      <charset val="1"/>
    </font>
    <font>
      <b val="true"/>
      <sz val="11"/>
      <color rgb="FFFFFFFF"/>
      <name val="Noto Sans CJK SC"/>
      <family val="2"/>
    </font>
    <font>
      <sz val="10"/>
      <name val="Noto Sans CJK SC"/>
      <family val="2"/>
    </font>
    <font>
      <sz val="10"/>
      <name val="Microsoft YaHei"/>
      <family val="0"/>
      <charset val="1"/>
    </font>
    <font>
      <b val="true"/>
      <sz val="14"/>
      <color rgb="FF0D47A1"/>
      <name val="Microsoft YaHei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name val="Noto Sans CJK SC"/>
      <family val="2"/>
    </font>
    <font>
      <b val="true"/>
      <sz val="10"/>
      <name val="Microsoft YaHei"/>
      <family val="0"/>
      <charset val="1"/>
    </font>
    <font>
      <b val="true"/>
      <sz val="10"/>
      <color rgb="FFFFFFFF"/>
      <name val="Microsoft YaHei"/>
      <family val="0"/>
      <charset val="1"/>
    </font>
    <font>
      <sz val="10"/>
      <color rgb="FF0000FF"/>
      <name val="Microsoft YaHei"/>
      <family val="0"/>
      <charset val="1"/>
    </font>
    <font>
      <sz val="10"/>
      <color rgb="FF0000FF"/>
      <name val="Noto Sans CJK SC"/>
      <family val="2"/>
    </font>
    <font>
      <b val="true"/>
      <sz val="11"/>
      <name val="Noto Sans CJK SC"/>
      <family val="2"/>
    </font>
    <font>
      <b val="true"/>
      <sz val="11"/>
      <name val="Microsoft YaHei"/>
      <family val="0"/>
      <charset val="1"/>
    </font>
    <font>
      <b val="true"/>
      <sz val="10"/>
      <color rgb="FF0000FF"/>
      <name val="Microsoft YaHe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47A1"/>
        <bgColor rgb="FF0066CC"/>
      </patternFill>
    </fill>
    <fill>
      <patternFill patternType="solid">
        <fgColor rgb="FF37474F"/>
        <bgColor rgb="FF555555"/>
      </patternFill>
    </fill>
    <fill>
      <patternFill patternType="solid">
        <fgColor rgb="FF1B5E20"/>
        <bgColor rgb="FF37474F"/>
      </patternFill>
    </fill>
    <fill>
      <patternFill patternType="solid">
        <fgColor rgb="FF6A1B9A"/>
        <bgColor rgb="FF800080"/>
      </patternFill>
    </fill>
    <fill>
      <patternFill patternType="solid">
        <fgColor rgb="FFBF360C"/>
        <bgColor rgb="FF993366"/>
      </patternFill>
    </fill>
    <fill>
      <patternFill patternType="solid">
        <fgColor rgb="FF616161"/>
        <bgColor rgb="FF555555"/>
      </patternFill>
    </fill>
    <fill>
      <patternFill patternType="solid">
        <fgColor rgb="FFFFFBE6"/>
        <bgColor rgb="FFFFFFFF"/>
      </patternFill>
    </fill>
    <fill>
      <patternFill patternType="solid">
        <fgColor rgb="FFF0F1F3"/>
        <bgColor rgb="FFE2EFDA"/>
      </patternFill>
    </fill>
    <fill>
      <patternFill patternType="solid">
        <fgColor rgb="FFFFFFCC"/>
        <bgColor rgb="FFFFFB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C5CC"/>
      </left>
      <right style="thin">
        <color rgb="FFBFC5CC"/>
      </right>
      <top style="thin">
        <color rgb="FFBFC5CC"/>
      </top>
      <bottom style="thin">
        <color rgb="FFBFC5CC"/>
      </bottom>
      <diagonal/>
    </border>
    <border diagonalUp="false" diagonalDown="false">
      <left style="thin">
        <color rgb="FFBFC5CC"/>
      </left>
      <right/>
      <top style="thin">
        <color rgb="FFBFC5CC"/>
      </top>
      <bottom style="thin">
        <color rgb="FFBFC5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C6E0B4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FE0B2"/>
        </patternFill>
      </fill>
    </dxf>
    <dxf>
      <fill>
        <patternFill>
          <bgColor rgb="FFF8CBAD"/>
        </patternFill>
      </fill>
    </dxf>
    <dxf>
      <font>
        <name val="Microsoft YaHei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6A1B9A"/>
      <rgbColor rgb="FF008080"/>
      <rgbColor rgb="FFBFC5CC"/>
      <rgbColor rgb="FF808080"/>
      <rgbColor rgb="FF9999FF"/>
      <rgbColor rgb="FF993366"/>
      <rgbColor rgb="FFFFFFCC"/>
      <rgbColor rgb="FFF0F1F3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BE6"/>
      <rgbColor rgb="FFE2EFDA"/>
      <rgbColor rgb="FFFFF2CC"/>
      <rgbColor rgb="FF99CCFF"/>
      <rgbColor rgb="FFFFE0B2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16161"/>
      <rgbColor rgb="FF969696"/>
      <rgbColor rgb="FF0D47A1"/>
      <rgbColor rgb="FF339966"/>
      <rgbColor rgb="FF003300"/>
      <rgbColor rgb="FF333300"/>
      <rgbColor rgb="FFBF360C"/>
      <rgbColor rgb="FF993366"/>
      <rgbColor rgb="FF555555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</row>
    <row r="6" customFormat="false" ht="15" hidden="false" customHeight="false" outlineLevel="0" collapsed="false">
      <c r="A6" s="3" t="s">
        <v>4</v>
      </c>
    </row>
    <row r="7" customFormat="false" ht="15.75" hidden="false" customHeight="true" outlineLevel="0" collapsed="false">
      <c r="A7" s="5" t="s">
        <v>5</v>
      </c>
    </row>
    <row r="8" customFormat="false" ht="15.75" hidden="false" customHeight="true" outlineLevel="0" collapsed="false">
      <c r="A8" s="5" t="s">
        <v>6</v>
      </c>
    </row>
    <row r="9" customFormat="false" ht="30" hidden="false" customHeight="true" outlineLevel="0" collapsed="false">
      <c r="A9" s="5" t="s">
        <v>7</v>
      </c>
    </row>
    <row r="10" customFormat="false" ht="30" hidden="false" customHeight="true" outlineLevel="0" collapsed="false">
      <c r="A10" s="5" t="s">
        <v>8</v>
      </c>
    </row>
    <row r="11" customFormat="false" ht="15.75" hidden="false" customHeight="true" outlineLevel="0" collapsed="false">
      <c r="A11" s="5" t="s">
        <v>9</v>
      </c>
    </row>
    <row r="12" customFormat="false" ht="15.75" hidden="false" customHeight="true" outlineLevel="0" collapsed="false">
      <c r="A12" s="5" t="s">
        <v>10</v>
      </c>
    </row>
    <row r="13" customFormat="false" ht="15.75" hidden="false" customHeight="true" outlineLevel="0" collapsed="false">
      <c r="A13" s="5" t="s">
        <v>11</v>
      </c>
    </row>
    <row r="14" customFormat="false" ht="15" hidden="false" customHeight="false" outlineLevel="0" collapsed="false">
      <c r="A14" s="3" t="s">
        <v>12</v>
      </c>
    </row>
    <row r="15" customFormat="false" ht="30" hidden="false" customHeight="true" outlineLevel="0" collapsed="false">
      <c r="A15" s="4" t="s">
        <v>13</v>
      </c>
    </row>
    <row r="16" customFormat="false" ht="15" hidden="false" customHeight="false" outlineLevel="0" collapsed="false">
      <c r="A16" s="3" t="s">
        <v>14</v>
      </c>
    </row>
    <row r="17" customFormat="false" ht="30" hidden="false" customHeight="true" outlineLevel="0" collapsed="false">
      <c r="A17" s="4" t="s">
        <v>15</v>
      </c>
    </row>
    <row r="18" customFormat="false" ht="15.75" hidden="false" customHeight="true" outlineLevel="0" collapsed="false">
      <c r="A18" s="4" t="s">
        <v>16</v>
      </c>
    </row>
    <row r="19" customFormat="false" ht="15" hidden="false" customHeight="false" outlineLevel="0" collapsed="false">
      <c r="A19" s="3" t="s">
        <v>17</v>
      </c>
    </row>
    <row r="20" customFormat="false" ht="30" hidden="false" customHeight="true" outlineLevel="0" collapsed="false">
      <c r="A20" s="4" t="s">
        <v>18</v>
      </c>
    </row>
    <row r="21" customFormat="false" ht="30" hidden="false" customHeight="true" outlineLevel="0" collapsed="false">
      <c r="A21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48"/>
    <col collapsed="false" customWidth="true" hidden="false" outlineLevel="0" max="4" min="4" style="0" width="52"/>
    <col collapsed="false" customWidth="true" hidden="false" outlineLevel="0" max="5" min="5" style="0" width="36"/>
    <col collapsed="false" customWidth="true" hidden="false" outlineLevel="0" max="6" min="6" style="0" width="12"/>
  </cols>
  <sheetData>
    <row r="1" customFormat="false" ht="21.6" hidden="false" customHeight="false" outlineLevel="0" collapsed="false">
      <c r="A1" s="1" t="s">
        <v>20</v>
      </c>
    </row>
    <row r="3" customFormat="false" ht="15" hidden="false" customHeight="false" outlineLevel="0" collapsed="false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</row>
    <row r="4" customFormat="false" ht="61.5" hidden="false" customHeight="true" outlineLevel="0" collapsed="false">
      <c r="A4" s="7" t="n">
        <v>1</v>
      </c>
      <c r="B4" s="8" t="s">
        <v>27</v>
      </c>
      <c r="C4" s="9" t="s">
        <v>28</v>
      </c>
      <c r="D4" s="9" t="s">
        <v>29</v>
      </c>
      <c r="E4" s="9" t="s">
        <v>30</v>
      </c>
      <c r="F4" s="7" t="s">
        <v>31</v>
      </c>
    </row>
    <row r="5" customFormat="false" ht="61.5" hidden="false" customHeight="true" outlineLevel="0" collapsed="false">
      <c r="A5" s="7" t="n">
        <v>2</v>
      </c>
      <c r="B5" s="8" t="s">
        <v>32</v>
      </c>
      <c r="C5" s="9" t="s">
        <v>33</v>
      </c>
      <c r="D5" s="9" t="s">
        <v>34</v>
      </c>
      <c r="E5" s="9" t="s">
        <v>35</v>
      </c>
      <c r="F5" s="7" t="s">
        <v>36</v>
      </c>
    </row>
    <row r="6" customFormat="false" ht="61.5" hidden="false" customHeight="true" outlineLevel="0" collapsed="false">
      <c r="A6" s="7" t="n">
        <v>3</v>
      </c>
      <c r="B6" s="8" t="s">
        <v>37</v>
      </c>
      <c r="C6" s="9" t="s">
        <v>38</v>
      </c>
      <c r="D6" s="9" t="s">
        <v>39</v>
      </c>
      <c r="E6" s="9" t="s">
        <v>40</v>
      </c>
      <c r="F6" s="7" t="s">
        <v>41</v>
      </c>
    </row>
    <row r="7" customFormat="false" ht="61.5" hidden="false" customHeight="true" outlineLevel="0" collapsed="false">
      <c r="A7" s="7" t="n">
        <v>4</v>
      </c>
      <c r="B7" s="8" t="s">
        <v>42</v>
      </c>
      <c r="C7" s="9" t="s">
        <v>43</v>
      </c>
      <c r="D7" s="9" t="s">
        <v>44</v>
      </c>
      <c r="E7" s="9" t="s">
        <v>45</v>
      </c>
      <c r="F7" s="7" t="s">
        <v>46</v>
      </c>
    </row>
    <row r="8" customFormat="false" ht="61.5" hidden="false" customHeight="true" outlineLevel="0" collapsed="false">
      <c r="A8" s="7" t="n">
        <v>5</v>
      </c>
      <c r="B8" s="8" t="s">
        <v>47</v>
      </c>
      <c r="C8" s="9" t="s">
        <v>48</v>
      </c>
      <c r="D8" s="9" t="s">
        <v>49</v>
      </c>
      <c r="E8" s="9" t="s">
        <v>50</v>
      </c>
      <c r="F8" s="7" t="s">
        <v>51</v>
      </c>
    </row>
    <row r="9" customFormat="false" ht="61.5" hidden="false" customHeight="true" outlineLevel="0" collapsed="false">
      <c r="A9" s="7" t="n">
        <v>6</v>
      </c>
      <c r="B9" s="8" t="s">
        <v>52</v>
      </c>
      <c r="C9" s="9" t="s">
        <v>53</v>
      </c>
      <c r="D9" s="9" t="s">
        <v>54</v>
      </c>
      <c r="E9" s="9" t="s">
        <v>55</v>
      </c>
      <c r="F9" s="7" t="s">
        <v>56</v>
      </c>
    </row>
    <row r="10" customFormat="false" ht="61.5" hidden="false" customHeight="true" outlineLevel="0" collapsed="false">
      <c r="A10" s="7" t="n">
        <v>7</v>
      </c>
      <c r="B10" s="8" t="s">
        <v>57</v>
      </c>
      <c r="C10" s="9" t="s">
        <v>58</v>
      </c>
      <c r="D10" s="9" t="s">
        <v>59</v>
      </c>
      <c r="E10" s="9" t="s">
        <v>60</v>
      </c>
      <c r="F10" s="7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2"/>
    <col collapsed="false" customWidth="true" hidden="false" outlineLevel="0" max="3" min="3" style="0" width="50"/>
    <col collapsed="false" customWidth="true" hidden="false" outlineLevel="0" max="4" min="4" style="0" width="32"/>
  </cols>
  <sheetData>
    <row r="1" customFormat="false" ht="21.6" hidden="false" customHeight="false" outlineLevel="0" collapsed="false">
      <c r="A1" s="1" t="s">
        <v>62</v>
      </c>
    </row>
    <row r="3" customFormat="false" ht="15" hidden="false" customHeight="false" outlineLevel="0" collapsed="false">
      <c r="A3" s="6" t="s">
        <v>63</v>
      </c>
      <c r="B3" s="6" t="s">
        <v>64</v>
      </c>
      <c r="C3" s="6" t="s">
        <v>65</v>
      </c>
      <c r="D3" s="6" t="s">
        <v>66</v>
      </c>
    </row>
    <row r="4" customFormat="false" ht="45.75" hidden="false" customHeight="true" outlineLevel="0" collapsed="false">
      <c r="A4" s="8" t="s">
        <v>67</v>
      </c>
      <c r="B4" s="9" t="s">
        <v>68</v>
      </c>
      <c r="C4" s="9" t="s">
        <v>69</v>
      </c>
      <c r="D4" s="10" t="s">
        <v>70</v>
      </c>
    </row>
    <row r="5" customFormat="false" ht="45.75" hidden="false" customHeight="true" outlineLevel="0" collapsed="false">
      <c r="A5" s="8" t="s">
        <v>71</v>
      </c>
      <c r="B5" s="9" t="s">
        <v>72</v>
      </c>
      <c r="C5" s="9" t="s">
        <v>73</v>
      </c>
      <c r="D5" s="9" t="s">
        <v>74</v>
      </c>
    </row>
    <row r="6" customFormat="false" ht="45.75" hidden="false" customHeight="true" outlineLevel="0" collapsed="false">
      <c r="A6" s="8" t="s">
        <v>75</v>
      </c>
      <c r="B6" s="9" t="s">
        <v>76</v>
      </c>
      <c r="C6" s="9" t="s">
        <v>77</v>
      </c>
      <c r="D6" s="10" t="s">
        <v>78</v>
      </c>
    </row>
    <row r="7" customFormat="false" ht="45.75" hidden="false" customHeight="true" outlineLevel="0" collapsed="false">
      <c r="A7" s="8" t="s">
        <v>79</v>
      </c>
      <c r="B7" s="9" t="s">
        <v>80</v>
      </c>
      <c r="C7" s="9" t="s">
        <v>81</v>
      </c>
      <c r="D7" s="9" t="s">
        <v>82</v>
      </c>
    </row>
    <row r="8" customFormat="false" ht="45.75" hidden="false" customHeight="true" outlineLevel="0" collapsed="false">
      <c r="A8" s="8" t="s">
        <v>83</v>
      </c>
      <c r="B8" s="9" t="s">
        <v>84</v>
      </c>
      <c r="C8" s="9" t="s">
        <v>85</v>
      </c>
      <c r="D8" s="9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9" min="7" style="0" width="12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17"/>
    <col collapsed="false" customWidth="true" hidden="false" outlineLevel="0" max="13" min="13" style="0" width="12"/>
    <col collapsed="false" customWidth="true" hidden="false" outlineLevel="0" max="14" min="14" style="0" width="32"/>
    <col collapsed="false" customWidth="true" hidden="false" outlineLevel="0" max="15" min="15" style="0" width="11"/>
    <col collapsed="false" customWidth="true" hidden="false" outlineLevel="0" max="16" min="16" style="0" width="15"/>
    <col collapsed="false" customWidth="true" hidden="false" outlineLevel="0" max="17" min="17" style="0" width="16"/>
    <col collapsed="false" customWidth="true" hidden="false" outlineLevel="0" max="19" min="18" style="0" width="17"/>
    <col collapsed="false" customWidth="true" hidden="false" outlineLevel="0" max="20" min="20" style="0" width="36"/>
    <col collapsed="false" customWidth="true" hidden="false" outlineLevel="0" max="21" min="21" style="0" width="13"/>
    <col collapsed="false" customWidth="true" hidden="false" outlineLevel="0" max="22" min="22" style="0" width="32"/>
    <col collapsed="false" customWidth="true" hidden="false" outlineLevel="0" max="27" min="23" style="0" width="11"/>
  </cols>
  <sheetData>
    <row r="1" customFormat="false" ht="21.6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88</v>
      </c>
    </row>
    <row r="4" customFormat="false" ht="15" hidden="false" customHeight="true" outlineLevel="0" collapsed="false">
      <c r="A4" s="11" t="s">
        <v>89</v>
      </c>
      <c r="B4" s="11"/>
      <c r="C4" s="11"/>
      <c r="D4" s="11"/>
      <c r="E4" s="12" t="s">
        <v>90</v>
      </c>
      <c r="F4" s="12"/>
      <c r="G4" s="12"/>
      <c r="H4" s="12"/>
      <c r="I4" s="12"/>
      <c r="J4" s="13" t="s">
        <v>91</v>
      </c>
      <c r="K4" s="13"/>
      <c r="L4" s="13"/>
      <c r="M4" s="13"/>
      <c r="N4" s="13"/>
      <c r="O4" s="13"/>
      <c r="P4" s="14" t="s">
        <v>92</v>
      </c>
      <c r="Q4" s="14"/>
      <c r="R4" s="14"/>
      <c r="S4" s="14"/>
      <c r="T4" s="14"/>
      <c r="U4" s="15" t="s">
        <v>93</v>
      </c>
      <c r="V4" s="15"/>
      <c r="W4" s="16" t="s">
        <v>94</v>
      </c>
      <c r="X4" s="16"/>
      <c r="Y4" s="16"/>
      <c r="Z4" s="16"/>
      <c r="AA4" s="16"/>
    </row>
    <row r="5" customFormat="false" ht="57.75" hidden="false" customHeight="true" outlineLevel="0" collapsed="false">
      <c r="A5" s="17" t="s">
        <v>95</v>
      </c>
      <c r="B5" s="17" t="s">
        <v>96</v>
      </c>
      <c r="C5" s="17" t="s">
        <v>63</v>
      </c>
      <c r="D5" s="17" t="s">
        <v>97</v>
      </c>
      <c r="E5" s="6" t="s">
        <v>98</v>
      </c>
      <c r="F5" s="6" t="s">
        <v>99</v>
      </c>
      <c r="G5" s="6" t="s">
        <v>100</v>
      </c>
      <c r="H5" s="6" t="s">
        <v>101</v>
      </c>
      <c r="I5" s="6" t="s">
        <v>102</v>
      </c>
      <c r="J5" s="18" t="s">
        <v>103</v>
      </c>
      <c r="K5" s="18" t="s">
        <v>104</v>
      </c>
      <c r="L5" s="18" t="s">
        <v>105</v>
      </c>
      <c r="M5" s="18" t="s">
        <v>106</v>
      </c>
      <c r="N5" s="18" t="s">
        <v>107</v>
      </c>
      <c r="O5" s="18" t="s">
        <v>108</v>
      </c>
      <c r="P5" s="19" t="s">
        <v>109</v>
      </c>
      <c r="Q5" s="19" t="s">
        <v>110</v>
      </c>
      <c r="R5" s="19" t="s">
        <v>111</v>
      </c>
      <c r="S5" s="19" t="s">
        <v>112</v>
      </c>
      <c r="T5" s="19" t="s">
        <v>113</v>
      </c>
      <c r="U5" s="20" t="s">
        <v>114</v>
      </c>
      <c r="V5" s="20" t="s">
        <v>115</v>
      </c>
      <c r="W5" s="21" t="s">
        <v>116</v>
      </c>
      <c r="X5" s="21" t="s">
        <v>117</v>
      </c>
      <c r="Y5" s="21" t="s">
        <v>118</v>
      </c>
      <c r="Z5" s="21" t="s">
        <v>119</v>
      </c>
      <c r="AA5" s="21" t="s">
        <v>120</v>
      </c>
    </row>
    <row r="6" customFormat="false" ht="54" hidden="false" customHeight="true" outlineLevel="0" collapsed="false">
      <c r="A6" s="22" t="s">
        <v>121</v>
      </c>
      <c r="B6" s="23" t="s">
        <v>122</v>
      </c>
      <c r="C6" s="23" t="s">
        <v>123</v>
      </c>
      <c r="D6" s="23" t="s">
        <v>124</v>
      </c>
      <c r="E6" s="24" t="s">
        <v>125</v>
      </c>
      <c r="F6" s="24" t="s">
        <v>125</v>
      </c>
      <c r="G6" s="24" t="s">
        <v>126</v>
      </c>
      <c r="H6" s="24" t="s">
        <v>125</v>
      </c>
      <c r="I6" s="24" t="s">
        <v>127</v>
      </c>
      <c r="J6" s="24" t="s">
        <v>127</v>
      </c>
      <c r="K6" s="24" t="s">
        <v>127</v>
      </c>
      <c r="L6" s="24" t="s">
        <v>126</v>
      </c>
      <c r="M6" s="22" t="s">
        <v>128</v>
      </c>
      <c r="N6" s="23" t="s">
        <v>129</v>
      </c>
      <c r="O6" s="22" t="s">
        <v>130</v>
      </c>
      <c r="P6" s="25" t="str">
        <f aca="false">IF(X6="","",INDEX(参数!$B$4:$B$6,X6))</f>
        <v>高</v>
      </c>
      <c r="Q6" s="25" t="str">
        <f aca="false">IF(Z6="","",INDEX(参数!$B$4:$B$6,Z6))</f>
        <v>低</v>
      </c>
      <c r="R6" s="25" t="str">
        <f aca="false">IF(OR(X6="",Z6=""),"",INDEX(参数!$B$26:$D$28,X6,Z6))</f>
        <v>监控</v>
      </c>
      <c r="S6" s="25" t="str">
        <f aca="false">IF(OR(AA6="",I6=""),"",INDEX(参数!$B$18:$B$22,MAX(1,MIN(5,AA6+2-MATCH(I6,参数!$B$9:$B$11,0)))))</f>
        <v>处理</v>
      </c>
      <c r="T6" s="26" t="str">
        <f aca="false">IF(Z6="","",IF(AND(Z6=3,M6="C"),"请核实：激活程度为高，但没有确立的地缘政治关联（C级）",IF(AND(Z6&gt;=2,M6=""),"请填写证据等级","")))</f>
        <v/>
      </c>
      <c r="U6" s="24" t="s">
        <v>131</v>
      </c>
      <c r="V6" s="23" t="s">
        <v>132</v>
      </c>
      <c r="W6" s="27" t="n">
        <f aca="false">IF(COUNTA(E6:H6)&lt;4,"",AVERAGE(MATCH(E6,参数!$B$4:$B$6,0),MATCH(F6,参数!$B$4:$B$6,0),MATCH(G6,参数!$B$4:$B$6,0),MATCH(H6,参数!$B$4:$B$6,0)))</f>
        <v>2.75</v>
      </c>
      <c r="X6" s="25" t="n">
        <f aca="false">IF(W6="","",IF(W6&gt;=参数!$B$14,3,IF(W6&gt;=参数!$B$15,2,1)))</f>
        <v>3</v>
      </c>
      <c r="Y6" s="27" t="n">
        <f aca="false">IF(COUNTA(J6:L6)&lt;3,"",AVERAGE(MATCH(J6,参数!$B$4:$B$6,0),MATCH(K6,参数!$B$4:$B$6,0),MATCH(L6,参数!$B$4:$B$6,0)))</f>
        <v>1.33333333333333</v>
      </c>
      <c r="Z6" s="25" t="n">
        <f aca="false">IF(Y6="","",IF(Y6&gt;=参数!$B$14,3,IF(Y6&gt;=参数!$B$15,2,1)))</f>
        <v>1</v>
      </c>
      <c r="AA6" s="25" t="n">
        <f aca="false">IF(R6="","",MATCH(R6,参数!$B$18:$B$22,0))</f>
        <v>3</v>
      </c>
    </row>
    <row r="7" customFormat="false" ht="30" hidden="false" customHeight="true" outlineLevel="0" collapsed="false">
      <c r="A7" s="22"/>
      <c r="B7" s="23"/>
      <c r="C7" s="23"/>
      <c r="D7" s="23"/>
      <c r="E7" s="24"/>
      <c r="F7" s="24"/>
      <c r="G7" s="24"/>
      <c r="H7" s="24"/>
      <c r="I7" s="24"/>
      <c r="J7" s="24"/>
      <c r="K7" s="24"/>
      <c r="L7" s="24"/>
      <c r="M7" s="22"/>
      <c r="N7" s="23"/>
      <c r="O7" s="22"/>
      <c r="P7" s="25" t="str">
        <f aca="false">IF(X7="","",INDEX(参数!$B$4:$B$6,X7))</f>
        <v/>
      </c>
      <c r="Q7" s="25" t="str">
        <f aca="false">IF(Z7="","",INDEX(参数!$B$4:$B$6,Z7))</f>
        <v/>
      </c>
      <c r="R7" s="25" t="str">
        <f aca="false">IF(OR(X7="",Z7=""),"",INDEX(参数!$B$26:$D$28,X7,Z7))</f>
        <v/>
      </c>
      <c r="S7" s="25" t="str">
        <f aca="false">IF(OR(AA7="",I7=""),"",INDEX(参数!$B$18:$B$22,MAX(1,MIN(5,AA7+2-MATCH(I7,参数!$B$9:$B$11,0)))))</f>
        <v/>
      </c>
      <c r="T7" s="26" t="str">
        <f aca="false">IF(Z7="","",IF(AND(Z7=3,M7="C"),"请核实：激活程度为高，但没有确立的地缘政治关联（C级）",IF(AND(Z7&gt;=2,M7=""),"请填写证据等级","")))</f>
        <v/>
      </c>
      <c r="U7" s="24"/>
      <c r="V7" s="23"/>
      <c r="W7" s="27" t="str">
        <f aca="false">IF(COUNTA(E7:H7)&lt;4,"",AVERAGE(MATCH(E7,参数!$B$4:$B$6,0),MATCH(F7,参数!$B$4:$B$6,0),MATCH(G7,参数!$B$4:$B$6,0),MATCH(H7,参数!$B$4:$B$6,0)))</f>
        <v/>
      </c>
      <c r="X7" s="25" t="str">
        <f aca="false">IF(W7="","",IF(W7&gt;=参数!$B$14,3,IF(W7&gt;=参数!$B$15,2,1)))</f>
        <v/>
      </c>
      <c r="Y7" s="27" t="str">
        <f aca="false">IF(COUNTA(J7:L7)&lt;3,"",AVERAGE(MATCH(J7,参数!$B$4:$B$6,0),MATCH(K7,参数!$B$4:$B$6,0),MATCH(L7,参数!$B$4:$B$6,0)))</f>
        <v/>
      </c>
      <c r="Z7" s="25" t="str">
        <f aca="false">IF(Y7="","",IF(Y7&gt;=参数!$B$14,3,IF(Y7&gt;=参数!$B$15,2,1)))</f>
        <v/>
      </c>
      <c r="AA7" s="25" t="str">
        <f aca="false">IF(R7="","",MATCH(R7,参数!$B$18:$B$22,0))</f>
        <v/>
      </c>
    </row>
    <row r="8" customFormat="false" ht="30" hidden="false" customHeight="true" outlineLevel="0" collapsed="false">
      <c r="A8" s="22"/>
      <c r="B8" s="23"/>
      <c r="C8" s="23"/>
      <c r="D8" s="23"/>
      <c r="E8" s="24"/>
      <c r="F8" s="24"/>
      <c r="G8" s="24"/>
      <c r="H8" s="24"/>
      <c r="I8" s="24"/>
      <c r="J8" s="24"/>
      <c r="K8" s="24"/>
      <c r="L8" s="24"/>
      <c r="M8" s="22"/>
      <c r="N8" s="23"/>
      <c r="O8" s="22"/>
      <c r="P8" s="25" t="str">
        <f aca="false">IF(X8="","",INDEX(参数!$B$4:$B$6,X8))</f>
        <v/>
      </c>
      <c r="Q8" s="25" t="str">
        <f aca="false">IF(Z8="","",INDEX(参数!$B$4:$B$6,Z8))</f>
        <v/>
      </c>
      <c r="R8" s="25" t="str">
        <f aca="false">IF(OR(X8="",Z8=""),"",INDEX(参数!$B$26:$D$28,X8,Z8))</f>
        <v/>
      </c>
      <c r="S8" s="25" t="str">
        <f aca="false">IF(OR(AA8="",I8=""),"",INDEX(参数!$B$18:$B$22,MAX(1,MIN(5,AA8+2-MATCH(I8,参数!$B$9:$B$11,0)))))</f>
        <v/>
      </c>
      <c r="T8" s="26" t="str">
        <f aca="false">IF(Z8="","",IF(AND(Z8=3,M8="C"),"请核实：激活程度为高，但没有确立的地缘政治关联（C级）",IF(AND(Z8&gt;=2,M8=""),"请填写证据等级","")))</f>
        <v/>
      </c>
      <c r="U8" s="24"/>
      <c r="V8" s="23"/>
      <c r="W8" s="27" t="str">
        <f aca="false">IF(COUNTA(E8:H8)&lt;4,"",AVERAGE(MATCH(E8,参数!$B$4:$B$6,0),MATCH(F8,参数!$B$4:$B$6,0),MATCH(G8,参数!$B$4:$B$6,0),MATCH(H8,参数!$B$4:$B$6,0)))</f>
        <v/>
      </c>
      <c r="X8" s="25" t="str">
        <f aca="false">IF(W8="","",IF(W8&gt;=参数!$B$14,3,IF(W8&gt;=参数!$B$15,2,1)))</f>
        <v/>
      </c>
      <c r="Y8" s="27" t="str">
        <f aca="false">IF(COUNTA(J8:L8)&lt;3,"",AVERAGE(MATCH(J8,参数!$B$4:$B$6,0),MATCH(K8,参数!$B$4:$B$6,0),MATCH(L8,参数!$B$4:$B$6,0)))</f>
        <v/>
      </c>
      <c r="Z8" s="25" t="str">
        <f aca="false">IF(Y8="","",IF(Y8&gt;=参数!$B$14,3,IF(Y8&gt;=参数!$B$15,2,1)))</f>
        <v/>
      </c>
      <c r="AA8" s="25" t="str">
        <f aca="false">IF(R8="","",MATCH(R8,参数!$B$18:$B$22,0))</f>
        <v/>
      </c>
    </row>
    <row r="9" customFormat="false" ht="30" hidden="false" customHeight="true" outlineLevel="0" collapsed="false">
      <c r="A9" s="22"/>
      <c r="B9" s="23"/>
      <c r="C9" s="23"/>
      <c r="D9" s="23"/>
      <c r="E9" s="24"/>
      <c r="F9" s="24"/>
      <c r="G9" s="24"/>
      <c r="H9" s="24"/>
      <c r="I9" s="24"/>
      <c r="J9" s="24"/>
      <c r="K9" s="24"/>
      <c r="L9" s="24"/>
      <c r="M9" s="22"/>
      <c r="N9" s="23"/>
      <c r="O9" s="22"/>
      <c r="P9" s="25" t="str">
        <f aca="false">IF(X9="","",INDEX(参数!$B$4:$B$6,X9))</f>
        <v/>
      </c>
      <c r="Q9" s="25" t="str">
        <f aca="false">IF(Z9="","",INDEX(参数!$B$4:$B$6,Z9))</f>
        <v/>
      </c>
      <c r="R9" s="25" t="str">
        <f aca="false">IF(OR(X9="",Z9=""),"",INDEX(参数!$B$26:$D$28,X9,Z9))</f>
        <v/>
      </c>
      <c r="S9" s="25" t="str">
        <f aca="false">IF(OR(AA9="",I9=""),"",INDEX(参数!$B$18:$B$22,MAX(1,MIN(5,AA9+2-MATCH(I9,参数!$B$9:$B$11,0)))))</f>
        <v/>
      </c>
      <c r="T9" s="26" t="str">
        <f aca="false">IF(Z9="","",IF(AND(Z9=3,M9="C"),"请核实：激活程度为高，但没有确立的地缘政治关联（C级）",IF(AND(Z9&gt;=2,M9=""),"请填写证据等级","")))</f>
        <v/>
      </c>
      <c r="U9" s="24"/>
      <c r="V9" s="23"/>
      <c r="W9" s="27" t="str">
        <f aca="false">IF(COUNTA(E9:H9)&lt;4,"",AVERAGE(MATCH(E9,参数!$B$4:$B$6,0),MATCH(F9,参数!$B$4:$B$6,0),MATCH(G9,参数!$B$4:$B$6,0),MATCH(H9,参数!$B$4:$B$6,0)))</f>
        <v/>
      </c>
      <c r="X9" s="25" t="str">
        <f aca="false">IF(W9="","",IF(W9&gt;=参数!$B$14,3,IF(W9&gt;=参数!$B$15,2,1)))</f>
        <v/>
      </c>
      <c r="Y9" s="27" t="str">
        <f aca="false">IF(COUNTA(J9:L9)&lt;3,"",AVERAGE(MATCH(J9,参数!$B$4:$B$6,0),MATCH(K9,参数!$B$4:$B$6,0),MATCH(L9,参数!$B$4:$B$6,0)))</f>
        <v/>
      </c>
      <c r="Z9" s="25" t="str">
        <f aca="false">IF(Y9="","",IF(Y9&gt;=参数!$B$14,3,IF(Y9&gt;=参数!$B$15,2,1)))</f>
        <v/>
      </c>
      <c r="AA9" s="25" t="str">
        <f aca="false">IF(R9="","",MATCH(R9,参数!$B$18:$B$22,0))</f>
        <v/>
      </c>
    </row>
    <row r="10" customFormat="false" ht="30" hidden="false" customHeight="true" outlineLevel="0" collapsed="false">
      <c r="A10" s="22"/>
      <c r="B10" s="23"/>
      <c r="C10" s="23"/>
      <c r="D10" s="23"/>
      <c r="E10" s="24"/>
      <c r="F10" s="24"/>
      <c r="G10" s="24"/>
      <c r="H10" s="24"/>
      <c r="I10" s="24"/>
      <c r="J10" s="24"/>
      <c r="K10" s="24"/>
      <c r="L10" s="24"/>
      <c r="M10" s="22"/>
      <c r="N10" s="23"/>
      <c r="O10" s="22"/>
      <c r="P10" s="25" t="str">
        <f aca="false">IF(X10="","",INDEX(参数!$B$4:$B$6,X10))</f>
        <v/>
      </c>
      <c r="Q10" s="25" t="str">
        <f aca="false">IF(Z10="","",INDEX(参数!$B$4:$B$6,Z10))</f>
        <v/>
      </c>
      <c r="R10" s="25" t="str">
        <f aca="false">IF(OR(X10="",Z10=""),"",INDEX(参数!$B$26:$D$28,X10,Z10))</f>
        <v/>
      </c>
      <c r="S10" s="25" t="str">
        <f aca="false">IF(OR(AA10="",I10=""),"",INDEX(参数!$B$18:$B$22,MAX(1,MIN(5,AA10+2-MATCH(I10,参数!$B$9:$B$11,0)))))</f>
        <v/>
      </c>
      <c r="T10" s="26" t="str">
        <f aca="false">IF(Z10="","",IF(AND(Z10=3,M10="C"),"请核实：激活程度为高，但没有确立的地缘政治关联（C级）",IF(AND(Z10&gt;=2,M10=""),"请填写证据等级","")))</f>
        <v/>
      </c>
      <c r="U10" s="24"/>
      <c r="V10" s="23"/>
      <c r="W10" s="27" t="str">
        <f aca="false">IF(COUNTA(E10:H10)&lt;4,"",AVERAGE(MATCH(E10,参数!$B$4:$B$6,0),MATCH(F10,参数!$B$4:$B$6,0),MATCH(G10,参数!$B$4:$B$6,0),MATCH(H10,参数!$B$4:$B$6,0)))</f>
        <v/>
      </c>
      <c r="X10" s="25" t="str">
        <f aca="false">IF(W10="","",IF(W10&gt;=参数!$B$14,3,IF(W10&gt;=参数!$B$15,2,1)))</f>
        <v/>
      </c>
      <c r="Y10" s="27" t="str">
        <f aca="false">IF(COUNTA(J10:L10)&lt;3,"",AVERAGE(MATCH(J10,参数!$B$4:$B$6,0),MATCH(K10,参数!$B$4:$B$6,0),MATCH(L10,参数!$B$4:$B$6,0)))</f>
        <v/>
      </c>
      <c r="Z10" s="25" t="str">
        <f aca="false">IF(Y10="","",IF(Y10&gt;=参数!$B$14,3,IF(Y10&gt;=参数!$B$15,2,1)))</f>
        <v/>
      </c>
      <c r="AA10" s="25" t="str">
        <f aca="false">IF(R10="","",MATCH(R10,参数!$B$18:$B$22,0))</f>
        <v/>
      </c>
    </row>
    <row r="11" customFormat="false" ht="30" hidden="false" customHeight="true" outlineLevel="0" collapsed="false">
      <c r="A11" s="22"/>
      <c r="B11" s="23"/>
      <c r="C11" s="23"/>
      <c r="D11" s="23"/>
      <c r="E11" s="24"/>
      <c r="F11" s="24"/>
      <c r="G11" s="24"/>
      <c r="H11" s="24"/>
      <c r="I11" s="24"/>
      <c r="J11" s="24"/>
      <c r="K11" s="24"/>
      <c r="L11" s="24"/>
      <c r="M11" s="22"/>
      <c r="N11" s="23"/>
      <c r="O11" s="22"/>
      <c r="P11" s="25" t="str">
        <f aca="false">IF(X11="","",INDEX(参数!$B$4:$B$6,X11))</f>
        <v/>
      </c>
      <c r="Q11" s="25" t="str">
        <f aca="false">IF(Z11="","",INDEX(参数!$B$4:$B$6,Z11))</f>
        <v/>
      </c>
      <c r="R11" s="25" t="str">
        <f aca="false">IF(OR(X11="",Z11=""),"",INDEX(参数!$B$26:$D$28,X11,Z11))</f>
        <v/>
      </c>
      <c r="S11" s="25" t="str">
        <f aca="false">IF(OR(AA11="",I11=""),"",INDEX(参数!$B$18:$B$22,MAX(1,MIN(5,AA11+2-MATCH(I11,参数!$B$9:$B$11,0)))))</f>
        <v/>
      </c>
      <c r="T11" s="26" t="str">
        <f aca="false">IF(Z11="","",IF(AND(Z11=3,M11="C"),"请核实：激活程度为高，但没有确立的地缘政治关联（C级）",IF(AND(Z11&gt;=2,M11=""),"请填写证据等级","")))</f>
        <v/>
      </c>
      <c r="U11" s="24"/>
      <c r="V11" s="23"/>
      <c r="W11" s="27" t="str">
        <f aca="false">IF(COUNTA(E11:H11)&lt;4,"",AVERAGE(MATCH(E11,参数!$B$4:$B$6,0),MATCH(F11,参数!$B$4:$B$6,0),MATCH(G11,参数!$B$4:$B$6,0),MATCH(H11,参数!$B$4:$B$6,0)))</f>
        <v/>
      </c>
      <c r="X11" s="25" t="str">
        <f aca="false">IF(W11="","",IF(W11&gt;=参数!$B$14,3,IF(W11&gt;=参数!$B$15,2,1)))</f>
        <v/>
      </c>
      <c r="Y11" s="27" t="str">
        <f aca="false">IF(COUNTA(J11:L11)&lt;3,"",AVERAGE(MATCH(J11,参数!$B$4:$B$6,0),MATCH(K11,参数!$B$4:$B$6,0),MATCH(L11,参数!$B$4:$B$6,0)))</f>
        <v/>
      </c>
      <c r="Z11" s="25" t="str">
        <f aca="false">IF(Y11="","",IF(Y11&gt;=参数!$B$14,3,IF(Y11&gt;=参数!$B$15,2,1)))</f>
        <v/>
      </c>
      <c r="AA11" s="25" t="str">
        <f aca="false">IF(R11="","",MATCH(R11,参数!$B$18:$B$22,0))</f>
        <v/>
      </c>
    </row>
    <row r="12" customFormat="false" ht="30" hidden="false" customHeight="true" outlineLevel="0" collapsed="false">
      <c r="A12" s="22"/>
      <c r="B12" s="23"/>
      <c r="C12" s="23"/>
      <c r="D12" s="23"/>
      <c r="E12" s="24"/>
      <c r="F12" s="24"/>
      <c r="G12" s="24"/>
      <c r="H12" s="24"/>
      <c r="I12" s="24"/>
      <c r="J12" s="24"/>
      <c r="K12" s="24"/>
      <c r="L12" s="24"/>
      <c r="M12" s="22"/>
      <c r="N12" s="23"/>
      <c r="O12" s="22"/>
      <c r="P12" s="25" t="str">
        <f aca="false">IF(X12="","",INDEX(参数!$B$4:$B$6,X12))</f>
        <v/>
      </c>
      <c r="Q12" s="25" t="str">
        <f aca="false">IF(Z12="","",INDEX(参数!$B$4:$B$6,Z12))</f>
        <v/>
      </c>
      <c r="R12" s="25" t="str">
        <f aca="false">IF(OR(X12="",Z12=""),"",INDEX(参数!$B$26:$D$28,X12,Z12))</f>
        <v/>
      </c>
      <c r="S12" s="25" t="str">
        <f aca="false">IF(OR(AA12="",I12=""),"",INDEX(参数!$B$18:$B$22,MAX(1,MIN(5,AA12+2-MATCH(I12,参数!$B$9:$B$11,0)))))</f>
        <v/>
      </c>
      <c r="T12" s="26" t="str">
        <f aca="false">IF(Z12="","",IF(AND(Z12=3,M12="C"),"请核实：激活程度为高，但没有确立的地缘政治关联（C级）",IF(AND(Z12&gt;=2,M12=""),"请填写证据等级","")))</f>
        <v/>
      </c>
      <c r="U12" s="24"/>
      <c r="V12" s="23"/>
      <c r="W12" s="27" t="str">
        <f aca="false">IF(COUNTA(E12:H12)&lt;4,"",AVERAGE(MATCH(E12,参数!$B$4:$B$6,0),MATCH(F12,参数!$B$4:$B$6,0),MATCH(G12,参数!$B$4:$B$6,0),MATCH(H12,参数!$B$4:$B$6,0)))</f>
        <v/>
      </c>
      <c r="X12" s="25" t="str">
        <f aca="false">IF(W12="","",IF(W12&gt;=参数!$B$14,3,IF(W12&gt;=参数!$B$15,2,1)))</f>
        <v/>
      </c>
      <c r="Y12" s="27" t="str">
        <f aca="false">IF(COUNTA(J12:L12)&lt;3,"",AVERAGE(MATCH(J12,参数!$B$4:$B$6,0),MATCH(K12,参数!$B$4:$B$6,0),MATCH(L12,参数!$B$4:$B$6,0)))</f>
        <v/>
      </c>
      <c r="Z12" s="25" t="str">
        <f aca="false">IF(Y12="","",IF(Y12&gt;=参数!$B$14,3,IF(Y12&gt;=参数!$B$15,2,1)))</f>
        <v/>
      </c>
      <c r="AA12" s="25" t="str">
        <f aca="false">IF(R12="","",MATCH(R12,参数!$B$18:$B$22,0))</f>
        <v/>
      </c>
    </row>
    <row r="13" customFormat="false" ht="30" hidden="false" customHeight="true" outlineLevel="0" collapsed="false">
      <c r="A13" s="22"/>
      <c r="B13" s="23"/>
      <c r="C13" s="23"/>
      <c r="D13" s="23"/>
      <c r="E13" s="24"/>
      <c r="F13" s="24"/>
      <c r="G13" s="24"/>
      <c r="H13" s="24"/>
      <c r="I13" s="24"/>
      <c r="J13" s="24"/>
      <c r="K13" s="24"/>
      <c r="L13" s="24"/>
      <c r="M13" s="22"/>
      <c r="N13" s="23"/>
      <c r="O13" s="22"/>
      <c r="P13" s="25" t="str">
        <f aca="false">IF(X13="","",INDEX(参数!$B$4:$B$6,X13))</f>
        <v/>
      </c>
      <c r="Q13" s="25" t="str">
        <f aca="false">IF(Z13="","",INDEX(参数!$B$4:$B$6,Z13))</f>
        <v/>
      </c>
      <c r="R13" s="25" t="str">
        <f aca="false">IF(OR(X13="",Z13=""),"",INDEX(参数!$B$26:$D$28,X13,Z13))</f>
        <v/>
      </c>
      <c r="S13" s="25" t="str">
        <f aca="false">IF(OR(AA13="",I13=""),"",INDEX(参数!$B$18:$B$22,MAX(1,MIN(5,AA13+2-MATCH(I13,参数!$B$9:$B$11,0)))))</f>
        <v/>
      </c>
      <c r="T13" s="26" t="str">
        <f aca="false">IF(Z13="","",IF(AND(Z13=3,M13="C"),"请核实：激活程度为高，但没有确立的地缘政治关联（C级）",IF(AND(Z13&gt;=2,M13=""),"请填写证据等级","")))</f>
        <v/>
      </c>
      <c r="U13" s="24"/>
      <c r="V13" s="23"/>
      <c r="W13" s="27" t="str">
        <f aca="false">IF(COUNTA(E13:H13)&lt;4,"",AVERAGE(MATCH(E13,参数!$B$4:$B$6,0),MATCH(F13,参数!$B$4:$B$6,0),MATCH(G13,参数!$B$4:$B$6,0),MATCH(H13,参数!$B$4:$B$6,0)))</f>
        <v/>
      </c>
      <c r="X13" s="25" t="str">
        <f aca="false">IF(W13="","",IF(W13&gt;=参数!$B$14,3,IF(W13&gt;=参数!$B$15,2,1)))</f>
        <v/>
      </c>
      <c r="Y13" s="27" t="str">
        <f aca="false">IF(COUNTA(J13:L13)&lt;3,"",AVERAGE(MATCH(J13,参数!$B$4:$B$6,0),MATCH(K13,参数!$B$4:$B$6,0),MATCH(L13,参数!$B$4:$B$6,0)))</f>
        <v/>
      </c>
      <c r="Z13" s="25" t="str">
        <f aca="false">IF(Y13="","",IF(Y13&gt;=参数!$B$14,3,IF(Y13&gt;=参数!$B$15,2,1)))</f>
        <v/>
      </c>
      <c r="AA13" s="25" t="str">
        <f aca="false">IF(R13="","",MATCH(R13,参数!$B$18:$B$22,0))</f>
        <v/>
      </c>
    </row>
    <row r="14" customFormat="false" ht="30" hidden="false" customHeight="true" outlineLevel="0" collapsed="false">
      <c r="A14" s="22"/>
      <c r="B14" s="23"/>
      <c r="C14" s="23"/>
      <c r="D14" s="23"/>
      <c r="E14" s="24"/>
      <c r="F14" s="24"/>
      <c r="G14" s="24"/>
      <c r="H14" s="24"/>
      <c r="I14" s="24"/>
      <c r="J14" s="24"/>
      <c r="K14" s="24"/>
      <c r="L14" s="24"/>
      <c r="M14" s="22"/>
      <c r="N14" s="23"/>
      <c r="O14" s="22"/>
      <c r="P14" s="25" t="str">
        <f aca="false">IF(X14="","",INDEX(参数!$B$4:$B$6,X14))</f>
        <v/>
      </c>
      <c r="Q14" s="25" t="str">
        <f aca="false">IF(Z14="","",INDEX(参数!$B$4:$B$6,Z14))</f>
        <v/>
      </c>
      <c r="R14" s="25" t="str">
        <f aca="false">IF(OR(X14="",Z14=""),"",INDEX(参数!$B$26:$D$28,X14,Z14))</f>
        <v/>
      </c>
      <c r="S14" s="25" t="str">
        <f aca="false">IF(OR(AA14="",I14=""),"",INDEX(参数!$B$18:$B$22,MAX(1,MIN(5,AA14+2-MATCH(I14,参数!$B$9:$B$11,0)))))</f>
        <v/>
      </c>
      <c r="T14" s="26" t="str">
        <f aca="false">IF(Z14="","",IF(AND(Z14=3,M14="C"),"请核实：激活程度为高，但没有确立的地缘政治关联（C级）",IF(AND(Z14&gt;=2,M14=""),"请填写证据等级","")))</f>
        <v/>
      </c>
      <c r="U14" s="24"/>
      <c r="V14" s="23"/>
      <c r="W14" s="27" t="str">
        <f aca="false">IF(COUNTA(E14:H14)&lt;4,"",AVERAGE(MATCH(E14,参数!$B$4:$B$6,0),MATCH(F14,参数!$B$4:$B$6,0),MATCH(G14,参数!$B$4:$B$6,0),MATCH(H14,参数!$B$4:$B$6,0)))</f>
        <v/>
      </c>
      <c r="X14" s="25" t="str">
        <f aca="false">IF(W14="","",IF(W14&gt;=参数!$B$14,3,IF(W14&gt;=参数!$B$15,2,1)))</f>
        <v/>
      </c>
      <c r="Y14" s="27" t="str">
        <f aca="false">IF(COUNTA(J14:L14)&lt;3,"",AVERAGE(MATCH(J14,参数!$B$4:$B$6,0),MATCH(K14,参数!$B$4:$B$6,0),MATCH(L14,参数!$B$4:$B$6,0)))</f>
        <v/>
      </c>
      <c r="Z14" s="25" t="str">
        <f aca="false">IF(Y14="","",IF(Y14&gt;=参数!$B$14,3,IF(Y14&gt;=参数!$B$15,2,1)))</f>
        <v/>
      </c>
      <c r="AA14" s="25" t="str">
        <f aca="false">IF(R14="","",MATCH(R14,参数!$B$18:$B$22,0))</f>
        <v/>
      </c>
    </row>
    <row r="15" customFormat="false" ht="30" hidden="false" customHeight="true" outlineLevel="0" collapsed="false">
      <c r="A15" s="22"/>
      <c r="B15" s="23"/>
      <c r="C15" s="23"/>
      <c r="D15" s="23"/>
      <c r="E15" s="24"/>
      <c r="F15" s="24"/>
      <c r="G15" s="24"/>
      <c r="H15" s="24"/>
      <c r="I15" s="24"/>
      <c r="J15" s="24"/>
      <c r="K15" s="24"/>
      <c r="L15" s="24"/>
      <c r="M15" s="22"/>
      <c r="N15" s="23"/>
      <c r="O15" s="22"/>
      <c r="P15" s="25" t="str">
        <f aca="false">IF(X15="","",INDEX(参数!$B$4:$B$6,X15))</f>
        <v/>
      </c>
      <c r="Q15" s="25" t="str">
        <f aca="false">IF(Z15="","",INDEX(参数!$B$4:$B$6,Z15))</f>
        <v/>
      </c>
      <c r="R15" s="25" t="str">
        <f aca="false">IF(OR(X15="",Z15=""),"",INDEX(参数!$B$26:$D$28,X15,Z15))</f>
        <v/>
      </c>
      <c r="S15" s="25" t="str">
        <f aca="false">IF(OR(AA15="",I15=""),"",INDEX(参数!$B$18:$B$22,MAX(1,MIN(5,AA15+2-MATCH(I15,参数!$B$9:$B$11,0)))))</f>
        <v/>
      </c>
      <c r="T15" s="26" t="str">
        <f aca="false">IF(Z15="","",IF(AND(Z15=3,M15="C"),"请核实：激活程度为高，但没有确立的地缘政治关联（C级）",IF(AND(Z15&gt;=2,M15=""),"请填写证据等级","")))</f>
        <v/>
      </c>
      <c r="U15" s="24"/>
      <c r="V15" s="23"/>
      <c r="W15" s="27" t="str">
        <f aca="false">IF(COUNTA(E15:H15)&lt;4,"",AVERAGE(MATCH(E15,参数!$B$4:$B$6,0),MATCH(F15,参数!$B$4:$B$6,0),MATCH(G15,参数!$B$4:$B$6,0),MATCH(H15,参数!$B$4:$B$6,0)))</f>
        <v/>
      </c>
      <c r="X15" s="25" t="str">
        <f aca="false">IF(W15="","",IF(W15&gt;=参数!$B$14,3,IF(W15&gt;=参数!$B$15,2,1)))</f>
        <v/>
      </c>
      <c r="Y15" s="27" t="str">
        <f aca="false">IF(COUNTA(J15:L15)&lt;3,"",AVERAGE(MATCH(J15,参数!$B$4:$B$6,0),MATCH(K15,参数!$B$4:$B$6,0),MATCH(L15,参数!$B$4:$B$6,0)))</f>
        <v/>
      </c>
      <c r="Z15" s="25" t="str">
        <f aca="false">IF(Y15="","",IF(Y15&gt;=参数!$B$14,3,IF(Y15&gt;=参数!$B$15,2,1)))</f>
        <v/>
      </c>
      <c r="AA15" s="25" t="str">
        <f aca="false">IF(R15="","",MATCH(R15,参数!$B$18:$B$22,0))</f>
        <v/>
      </c>
    </row>
    <row r="16" customFormat="false" ht="30" hidden="false" customHeight="true" outlineLevel="0" collapsed="false">
      <c r="A16" s="22"/>
      <c r="B16" s="23"/>
      <c r="C16" s="23"/>
      <c r="D16" s="23"/>
      <c r="E16" s="24"/>
      <c r="F16" s="24"/>
      <c r="G16" s="24"/>
      <c r="H16" s="24"/>
      <c r="I16" s="24"/>
      <c r="J16" s="24"/>
      <c r="K16" s="24"/>
      <c r="L16" s="24"/>
      <c r="M16" s="22"/>
      <c r="N16" s="23"/>
      <c r="O16" s="22"/>
      <c r="P16" s="25" t="str">
        <f aca="false">IF(X16="","",INDEX(参数!$B$4:$B$6,X16))</f>
        <v/>
      </c>
      <c r="Q16" s="25" t="str">
        <f aca="false">IF(Z16="","",INDEX(参数!$B$4:$B$6,Z16))</f>
        <v/>
      </c>
      <c r="R16" s="25" t="str">
        <f aca="false">IF(OR(X16="",Z16=""),"",INDEX(参数!$B$26:$D$28,X16,Z16))</f>
        <v/>
      </c>
      <c r="S16" s="25" t="str">
        <f aca="false">IF(OR(AA16="",I16=""),"",INDEX(参数!$B$18:$B$22,MAX(1,MIN(5,AA16+2-MATCH(I16,参数!$B$9:$B$11,0)))))</f>
        <v/>
      </c>
      <c r="T16" s="26" t="str">
        <f aca="false">IF(Z16="","",IF(AND(Z16=3,M16="C"),"请核实：激活程度为高，但没有确立的地缘政治关联（C级）",IF(AND(Z16&gt;=2,M16=""),"请填写证据等级","")))</f>
        <v/>
      </c>
      <c r="U16" s="24"/>
      <c r="V16" s="23"/>
      <c r="W16" s="27" t="str">
        <f aca="false">IF(COUNTA(E16:H16)&lt;4,"",AVERAGE(MATCH(E16,参数!$B$4:$B$6,0),MATCH(F16,参数!$B$4:$B$6,0),MATCH(G16,参数!$B$4:$B$6,0),MATCH(H16,参数!$B$4:$B$6,0)))</f>
        <v/>
      </c>
      <c r="X16" s="25" t="str">
        <f aca="false">IF(W16="","",IF(W16&gt;=参数!$B$14,3,IF(W16&gt;=参数!$B$15,2,1)))</f>
        <v/>
      </c>
      <c r="Y16" s="27" t="str">
        <f aca="false">IF(COUNTA(J16:L16)&lt;3,"",AVERAGE(MATCH(J16,参数!$B$4:$B$6,0),MATCH(K16,参数!$B$4:$B$6,0),MATCH(L16,参数!$B$4:$B$6,0)))</f>
        <v/>
      </c>
      <c r="Z16" s="25" t="str">
        <f aca="false">IF(Y16="","",IF(Y16&gt;=参数!$B$14,3,IF(Y16&gt;=参数!$B$15,2,1)))</f>
        <v/>
      </c>
      <c r="AA16" s="25" t="str">
        <f aca="false">IF(R16="","",MATCH(R16,参数!$B$18:$B$22,0))</f>
        <v/>
      </c>
    </row>
    <row r="17" customFormat="false" ht="30" hidden="false" customHeight="true" outlineLevel="0" collapsed="false">
      <c r="A17" s="22"/>
      <c r="B17" s="23"/>
      <c r="C17" s="23"/>
      <c r="D17" s="23"/>
      <c r="E17" s="24"/>
      <c r="F17" s="24"/>
      <c r="G17" s="24"/>
      <c r="H17" s="24"/>
      <c r="I17" s="24"/>
      <c r="J17" s="24"/>
      <c r="K17" s="24"/>
      <c r="L17" s="24"/>
      <c r="M17" s="22"/>
      <c r="N17" s="23"/>
      <c r="O17" s="22"/>
      <c r="P17" s="25" t="str">
        <f aca="false">IF(X17="","",INDEX(参数!$B$4:$B$6,X17))</f>
        <v/>
      </c>
      <c r="Q17" s="25" t="str">
        <f aca="false">IF(Z17="","",INDEX(参数!$B$4:$B$6,Z17))</f>
        <v/>
      </c>
      <c r="R17" s="25" t="str">
        <f aca="false">IF(OR(X17="",Z17=""),"",INDEX(参数!$B$26:$D$28,X17,Z17))</f>
        <v/>
      </c>
      <c r="S17" s="25" t="str">
        <f aca="false">IF(OR(AA17="",I17=""),"",INDEX(参数!$B$18:$B$22,MAX(1,MIN(5,AA17+2-MATCH(I17,参数!$B$9:$B$11,0)))))</f>
        <v/>
      </c>
      <c r="T17" s="26" t="str">
        <f aca="false">IF(Z17="","",IF(AND(Z17=3,M17="C"),"请核实：激活程度为高，但没有确立的地缘政治关联（C级）",IF(AND(Z17&gt;=2,M17=""),"请填写证据等级","")))</f>
        <v/>
      </c>
      <c r="U17" s="24"/>
      <c r="V17" s="23"/>
      <c r="W17" s="27" t="str">
        <f aca="false">IF(COUNTA(E17:H17)&lt;4,"",AVERAGE(MATCH(E17,参数!$B$4:$B$6,0),MATCH(F17,参数!$B$4:$B$6,0),MATCH(G17,参数!$B$4:$B$6,0),MATCH(H17,参数!$B$4:$B$6,0)))</f>
        <v/>
      </c>
      <c r="X17" s="25" t="str">
        <f aca="false">IF(W17="","",IF(W17&gt;=参数!$B$14,3,IF(W17&gt;=参数!$B$15,2,1)))</f>
        <v/>
      </c>
      <c r="Y17" s="27" t="str">
        <f aca="false">IF(COUNTA(J17:L17)&lt;3,"",AVERAGE(MATCH(J17,参数!$B$4:$B$6,0),MATCH(K17,参数!$B$4:$B$6,0),MATCH(L17,参数!$B$4:$B$6,0)))</f>
        <v/>
      </c>
      <c r="Z17" s="25" t="str">
        <f aca="false">IF(Y17="","",IF(Y17&gt;=参数!$B$14,3,IF(Y17&gt;=参数!$B$15,2,1)))</f>
        <v/>
      </c>
      <c r="AA17" s="25" t="str">
        <f aca="false">IF(R17="","",MATCH(R17,参数!$B$18:$B$22,0))</f>
        <v/>
      </c>
    </row>
    <row r="18" customFormat="false" ht="30" hidden="false" customHeight="true" outlineLevel="0" collapsed="false">
      <c r="A18" s="22"/>
      <c r="B18" s="23"/>
      <c r="C18" s="23"/>
      <c r="D18" s="23"/>
      <c r="E18" s="24"/>
      <c r="F18" s="24"/>
      <c r="G18" s="24"/>
      <c r="H18" s="24"/>
      <c r="I18" s="24"/>
      <c r="J18" s="24"/>
      <c r="K18" s="24"/>
      <c r="L18" s="24"/>
      <c r="M18" s="22"/>
      <c r="N18" s="23"/>
      <c r="O18" s="22"/>
      <c r="P18" s="25" t="str">
        <f aca="false">IF(X18="","",INDEX(参数!$B$4:$B$6,X18))</f>
        <v/>
      </c>
      <c r="Q18" s="25" t="str">
        <f aca="false">IF(Z18="","",INDEX(参数!$B$4:$B$6,Z18))</f>
        <v/>
      </c>
      <c r="R18" s="25" t="str">
        <f aca="false">IF(OR(X18="",Z18=""),"",INDEX(参数!$B$26:$D$28,X18,Z18))</f>
        <v/>
      </c>
      <c r="S18" s="25" t="str">
        <f aca="false">IF(OR(AA18="",I18=""),"",INDEX(参数!$B$18:$B$22,MAX(1,MIN(5,AA18+2-MATCH(I18,参数!$B$9:$B$11,0)))))</f>
        <v/>
      </c>
      <c r="T18" s="26" t="str">
        <f aca="false">IF(Z18="","",IF(AND(Z18=3,M18="C"),"请核实：激活程度为高，但没有确立的地缘政治关联（C级）",IF(AND(Z18&gt;=2,M18=""),"请填写证据等级","")))</f>
        <v/>
      </c>
      <c r="U18" s="24"/>
      <c r="V18" s="23"/>
      <c r="W18" s="27" t="str">
        <f aca="false">IF(COUNTA(E18:H18)&lt;4,"",AVERAGE(MATCH(E18,参数!$B$4:$B$6,0),MATCH(F18,参数!$B$4:$B$6,0),MATCH(G18,参数!$B$4:$B$6,0),MATCH(H18,参数!$B$4:$B$6,0)))</f>
        <v/>
      </c>
      <c r="X18" s="25" t="str">
        <f aca="false">IF(W18="","",IF(W18&gt;=参数!$B$14,3,IF(W18&gt;=参数!$B$15,2,1)))</f>
        <v/>
      </c>
      <c r="Y18" s="27" t="str">
        <f aca="false">IF(COUNTA(J18:L18)&lt;3,"",AVERAGE(MATCH(J18,参数!$B$4:$B$6,0),MATCH(K18,参数!$B$4:$B$6,0),MATCH(L18,参数!$B$4:$B$6,0)))</f>
        <v/>
      </c>
      <c r="Z18" s="25" t="str">
        <f aca="false">IF(Y18="","",IF(Y18&gt;=参数!$B$14,3,IF(Y18&gt;=参数!$B$15,2,1)))</f>
        <v/>
      </c>
      <c r="AA18" s="25" t="str">
        <f aca="false">IF(R18="","",MATCH(R18,参数!$B$18:$B$22,0))</f>
        <v/>
      </c>
    </row>
    <row r="19" customFormat="false" ht="30" hidden="false" customHeight="true" outlineLevel="0" collapsed="false">
      <c r="A19" s="22"/>
      <c r="B19" s="23"/>
      <c r="C19" s="23"/>
      <c r="D19" s="23"/>
      <c r="E19" s="24"/>
      <c r="F19" s="24"/>
      <c r="G19" s="24"/>
      <c r="H19" s="24"/>
      <c r="I19" s="24"/>
      <c r="J19" s="24"/>
      <c r="K19" s="24"/>
      <c r="L19" s="24"/>
      <c r="M19" s="22"/>
      <c r="N19" s="23"/>
      <c r="O19" s="22"/>
      <c r="P19" s="25" t="str">
        <f aca="false">IF(X19="","",INDEX(参数!$B$4:$B$6,X19))</f>
        <v/>
      </c>
      <c r="Q19" s="25" t="str">
        <f aca="false">IF(Z19="","",INDEX(参数!$B$4:$B$6,Z19))</f>
        <v/>
      </c>
      <c r="R19" s="25" t="str">
        <f aca="false">IF(OR(X19="",Z19=""),"",INDEX(参数!$B$26:$D$28,X19,Z19))</f>
        <v/>
      </c>
      <c r="S19" s="25" t="str">
        <f aca="false">IF(OR(AA19="",I19=""),"",INDEX(参数!$B$18:$B$22,MAX(1,MIN(5,AA19+2-MATCH(I19,参数!$B$9:$B$11,0)))))</f>
        <v/>
      </c>
      <c r="T19" s="26" t="str">
        <f aca="false">IF(Z19="","",IF(AND(Z19=3,M19="C"),"请核实：激活程度为高，但没有确立的地缘政治关联（C级）",IF(AND(Z19&gt;=2,M19=""),"请填写证据等级","")))</f>
        <v/>
      </c>
      <c r="U19" s="24"/>
      <c r="V19" s="23"/>
      <c r="W19" s="27" t="str">
        <f aca="false">IF(COUNTA(E19:H19)&lt;4,"",AVERAGE(MATCH(E19,参数!$B$4:$B$6,0),MATCH(F19,参数!$B$4:$B$6,0),MATCH(G19,参数!$B$4:$B$6,0),MATCH(H19,参数!$B$4:$B$6,0)))</f>
        <v/>
      </c>
      <c r="X19" s="25" t="str">
        <f aca="false">IF(W19="","",IF(W19&gt;=参数!$B$14,3,IF(W19&gt;=参数!$B$15,2,1)))</f>
        <v/>
      </c>
      <c r="Y19" s="27" t="str">
        <f aca="false">IF(COUNTA(J19:L19)&lt;3,"",AVERAGE(MATCH(J19,参数!$B$4:$B$6,0),MATCH(K19,参数!$B$4:$B$6,0),MATCH(L19,参数!$B$4:$B$6,0)))</f>
        <v/>
      </c>
      <c r="Z19" s="25" t="str">
        <f aca="false">IF(Y19="","",IF(Y19&gt;=参数!$B$14,3,IF(Y19&gt;=参数!$B$15,2,1)))</f>
        <v/>
      </c>
      <c r="AA19" s="25" t="str">
        <f aca="false">IF(R19="","",MATCH(R19,参数!$B$18:$B$22,0))</f>
        <v/>
      </c>
    </row>
    <row r="20" customFormat="false" ht="30" hidden="false" customHeight="true" outlineLevel="0" collapsed="false">
      <c r="A20" s="22"/>
      <c r="B20" s="23"/>
      <c r="C20" s="23"/>
      <c r="D20" s="23"/>
      <c r="E20" s="24"/>
      <c r="F20" s="24"/>
      <c r="G20" s="24"/>
      <c r="H20" s="24"/>
      <c r="I20" s="24"/>
      <c r="J20" s="24"/>
      <c r="K20" s="24"/>
      <c r="L20" s="24"/>
      <c r="M20" s="22"/>
      <c r="N20" s="23"/>
      <c r="O20" s="22"/>
      <c r="P20" s="25" t="str">
        <f aca="false">IF(X20="","",INDEX(参数!$B$4:$B$6,X20))</f>
        <v/>
      </c>
      <c r="Q20" s="25" t="str">
        <f aca="false">IF(Z20="","",INDEX(参数!$B$4:$B$6,Z20))</f>
        <v/>
      </c>
      <c r="R20" s="25" t="str">
        <f aca="false">IF(OR(X20="",Z20=""),"",INDEX(参数!$B$26:$D$28,X20,Z20))</f>
        <v/>
      </c>
      <c r="S20" s="25" t="str">
        <f aca="false">IF(OR(AA20="",I20=""),"",INDEX(参数!$B$18:$B$22,MAX(1,MIN(5,AA20+2-MATCH(I20,参数!$B$9:$B$11,0)))))</f>
        <v/>
      </c>
      <c r="T20" s="26" t="str">
        <f aca="false">IF(Z20="","",IF(AND(Z20=3,M20="C"),"请核实：激活程度为高，但没有确立的地缘政治关联（C级）",IF(AND(Z20&gt;=2,M20=""),"请填写证据等级","")))</f>
        <v/>
      </c>
      <c r="U20" s="24"/>
      <c r="V20" s="23"/>
      <c r="W20" s="27" t="str">
        <f aca="false">IF(COUNTA(E20:H20)&lt;4,"",AVERAGE(MATCH(E20,参数!$B$4:$B$6,0),MATCH(F20,参数!$B$4:$B$6,0),MATCH(G20,参数!$B$4:$B$6,0),MATCH(H20,参数!$B$4:$B$6,0)))</f>
        <v/>
      </c>
      <c r="X20" s="25" t="str">
        <f aca="false">IF(W20="","",IF(W20&gt;=参数!$B$14,3,IF(W20&gt;=参数!$B$15,2,1)))</f>
        <v/>
      </c>
      <c r="Y20" s="27" t="str">
        <f aca="false">IF(COUNTA(J20:L20)&lt;3,"",AVERAGE(MATCH(J20,参数!$B$4:$B$6,0),MATCH(K20,参数!$B$4:$B$6,0),MATCH(L20,参数!$B$4:$B$6,0)))</f>
        <v/>
      </c>
      <c r="Z20" s="25" t="str">
        <f aca="false">IF(Y20="","",IF(Y20&gt;=参数!$B$14,3,IF(Y20&gt;=参数!$B$15,2,1)))</f>
        <v/>
      </c>
      <c r="AA20" s="25" t="str">
        <f aca="false">IF(R20="","",MATCH(R20,参数!$B$18:$B$22,0))</f>
        <v/>
      </c>
    </row>
    <row r="21" customFormat="false" ht="30" hidden="false" customHeight="true" outlineLevel="0" collapsed="false">
      <c r="A21" s="22"/>
      <c r="B21" s="23"/>
      <c r="C21" s="23"/>
      <c r="D21" s="23"/>
      <c r="E21" s="24"/>
      <c r="F21" s="24"/>
      <c r="G21" s="24"/>
      <c r="H21" s="24"/>
      <c r="I21" s="24"/>
      <c r="J21" s="24"/>
      <c r="K21" s="24"/>
      <c r="L21" s="24"/>
      <c r="M21" s="22"/>
      <c r="N21" s="23"/>
      <c r="O21" s="22"/>
      <c r="P21" s="25" t="str">
        <f aca="false">IF(X21="","",INDEX(参数!$B$4:$B$6,X21))</f>
        <v/>
      </c>
      <c r="Q21" s="25" t="str">
        <f aca="false">IF(Z21="","",INDEX(参数!$B$4:$B$6,Z21))</f>
        <v/>
      </c>
      <c r="R21" s="25" t="str">
        <f aca="false">IF(OR(X21="",Z21=""),"",INDEX(参数!$B$26:$D$28,X21,Z21))</f>
        <v/>
      </c>
      <c r="S21" s="25" t="str">
        <f aca="false">IF(OR(AA21="",I21=""),"",INDEX(参数!$B$18:$B$22,MAX(1,MIN(5,AA21+2-MATCH(I21,参数!$B$9:$B$11,0)))))</f>
        <v/>
      </c>
      <c r="T21" s="26" t="str">
        <f aca="false">IF(Z21="","",IF(AND(Z21=3,M21="C"),"请核实：激活程度为高，但没有确立的地缘政治关联（C级）",IF(AND(Z21&gt;=2,M21=""),"请填写证据等级","")))</f>
        <v/>
      </c>
      <c r="U21" s="24"/>
      <c r="V21" s="23"/>
      <c r="W21" s="27" t="str">
        <f aca="false">IF(COUNTA(E21:H21)&lt;4,"",AVERAGE(MATCH(E21,参数!$B$4:$B$6,0),MATCH(F21,参数!$B$4:$B$6,0),MATCH(G21,参数!$B$4:$B$6,0),MATCH(H21,参数!$B$4:$B$6,0)))</f>
        <v/>
      </c>
      <c r="X21" s="25" t="str">
        <f aca="false">IF(W21="","",IF(W21&gt;=参数!$B$14,3,IF(W21&gt;=参数!$B$15,2,1)))</f>
        <v/>
      </c>
      <c r="Y21" s="27" t="str">
        <f aca="false">IF(COUNTA(J21:L21)&lt;3,"",AVERAGE(MATCH(J21,参数!$B$4:$B$6,0),MATCH(K21,参数!$B$4:$B$6,0),MATCH(L21,参数!$B$4:$B$6,0)))</f>
        <v/>
      </c>
      <c r="Z21" s="25" t="str">
        <f aca="false">IF(Y21="","",IF(Y21&gt;=参数!$B$14,3,IF(Y21&gt;=参数!$B$15,2,1)))</f>
        <v/>
      </c>
      <c r="AA21" s="25" t="str">
        <f aca="false">IF(R21="","",MATCH(R21,参数!$B$18:$B$22,0))</f>
        <v/>
      </c>
    </row>
    <row r="22" customFormat="false" ht="30" hidden="false" customHeight="true" outlineLevel="0" collapsed="false">
      <c r="A22" s="22"/>
      <c r="B22" s="23"/>
      <c r="C22" s="23"/>
      <c r="D22" s="23"/>
      <c r="E22" s="24"/>
      <c r="F22" s="24"/>
      <c r="G22" s="24"/>
      <c r="H22" s="24"/>
      <c r="I22" s="24"/>
      <c r="J22" s="24"/>
      <c r="K22" s="24"/>
      <c r="L22" s="24"/>
      <c r="M22" s="22"/>
      <c r="N22" s="23"/>
      <c r="O22" s="22"/>
      <c r="P22" s="25" t="str">
        <f aca="false">IF(X22="","",INDEX(参数!$B$4:$B$6,X22))</f>
        <v/>
      </c>
      <c r="Q22" s="25" t="str">
        <f aca="false">IF(Z22="","",INDEX(参数!$B$4:$B$6,Z22))</f>
        <v/>
      </c>
      <c r="R22" s="25" t="str">
        <f aca="false">IF(OR(X22="",Z22=""),"",INDEX(参数!$B$26:$D$28,X22,Z22))</f>
        <v/>
      </c>
      <c r="S22" s="25" t="str">
        <f aca="false">IF(OR(AA22="",I22=""),"",INDEX(参数!$B$18:$B$22,MAX(1,MIN(5,AA22+2-MATCH(I22,参数!$B$9:$B$11,0)))))</f>
        <v/>
      </c>
      <c r="T22" s="26" t="str">
        <f aca="false">IF(Z22="","",IF(AND(Z22=3,M22="C"),"请核实：激活程度为高，但没有确立的地缘政治关联（C级）",IF(AND(Z22&gt;=2,M22=""),"请填写证据等级","")))</f>
        <v/>
      </c>
      <c r="U22" s="24"/>
      <c r="V22" s="23"/>
      <c r="W22" s="27" t="str">
        <f aca="false">IF(COUNTA(E22:H22)&lt;4,"",AVERAGE(MATCH(E22,参数!$B$4:$B$6,0),MATCH(F22,参数!$B$4:$B$6,0),MATCH(G22,参数!$B$4:$B$6,0),MATCH(H22,参数!$B$4:$B$6,0)))</f>
        <v/>
      </c>
      <c r="X22" s="25" t="str">
        <f aca="false">IF(W22="","",IF(W22&gt;=参数!$B$14,3,IF(W22&gt;=参数!$B$15,2,1)))</f>
        <v/>
      </c>
      <c r="Y22" s="27" t="str">
        <f aca="false">IF(COUNTA(J22:L22)&lt;3,"",AVERAGE(MATCH(J22,参数!$B$4:$B$6,0),MATCH(K22,参数!$B$4:$B$6,0),MATCH(L22,参数!$B$4:$B$6,0)))</f>
        <v/>
      </c>
      <c r="Z22" s="25" t="str">
        <f aca="false">IF(Y22="","",IF(Y22&gt;=参数!$B$14,3,IF(Y22&gt;=参数!$B$15,2,1)))</f>
        <v/>
      </c>
      <c r="AA22" s="25" t="str">
        <f aca="false">IF(R22="","",MATCH(R22,参数!$B$18:$B$22,0))</f>
        <v/>
      </c>
    </row>
    <row r="23" customFormat="false" ht="30" hidden="false" customHeight="true" outlineLevel="0" collapsed="false">
      <c r="A23" s="22"/>
      <c r="B23" s="23"/>
      <c r="C23" s="23"/>
      <c r="D23" s="23"/>
      <c r="E23" s="24"/>
      <c r="F23" s="24"/>
      <c r="G23" s="24"/>
      <c r="H23" s="24"/>
      <c r="I23" s="24"/>
      <c r="J23" s="24"/>
      <c r="K23" s="24"/>
      <c r="L23" s="24"/>
      <c r="M23" s="22"/>
      <c r="N23" s="23"/>
      <c r="O23" s="22"/>
      <c r="P23" s="25" t="str">
        <f aca="false">IF(X23="","",INDEX(参数!$B$4:$B$6,X23))</f>
        <v/>
      </c>
      <c r="Q23" s="25" t="str">
        <f aca="false">IF(Z23="","",INDEX(参数!$B$4:$B$6,Z23))</f>
        <v/>
      </c>
      <c r="R23" s="25" t="str">
        <f aca="false">IF(OR(X23="",Z23=""),"",INDEX(参数!$B$26:$D$28,X23,Z23))</f>
        <v/>
      </c>
      <c r="S23" s="25" t="str">
        <f aca="false">IF(OR(AA23="",I23=""),"",INDEX(参数!$B$18:$B$22,MAX(1,MIN(5,AA23+2-MATCH(I23,参数!$B$9:$B$11,0)))))</f>
        <v/>
      </c>
      <c r="T23" s="26" t="str">
        <f aca="false">IF(Z23="","",IF(AND(Z23=3,M23="C"),"请核实：激活程度为高，但没有确立的地缘政治关联（C级）",IF(AND(Z23&gt;=2,M23=""),"请填写证据等级","")))</f>
        <v/>
      </c>
      <c r="U23" s="24"/>
      <c r="V23" s="23"/>
      <c r="W23" s="27" t="str">
        <f aca="false">IF(COUNTA(E23:H23)&lt;4,"",AVERAGE(MATCH(E23,参数!$B$4:$B$6,0),MATCH(F23,参数!$B$4:$B$6,0),MATCH(G23,参数!$B$4:$B$6,0),MATCH(H23,参数!$B$4:$B$6,0)))</f>
        <v/>
      </c>
      <c r="X23" s="25" t="str">
        <f aca="false">IF(W23="","",IF(W23&gt;=参数!$B$14,3,IF(W23&gt;=参数!$B$15,2,1)))</f>
        <v/>
      </c>
      <c r="Y23" s="27" t="str">
        <f aca="false">IF(COUNTA(J23:L23)&lt;3,"",AVERAGE(MATCH(J23,参数!$B$4:$B$6,0),MATCH(K23,参数!$B$4:$B$6,0),MATCH(L23,参数!$B$4:$B$6,0)))</f>
        <v/>
      </c>
      <c r="Z23" s="25" t="str">
        <f aca="false">IF(Y23="","",IF(Y23&gt;=参数!$B$14,3,IF(Y23&gt;=参数!$B$15,2,1)))</f>
        <v/>
      </c>
      <c r="AA23" s="25" t="str">
        <f aca="false">IF(R23="","",MATCH(R23,参数!$B$18:$B$22,0))</f>
        <v/>
      </c>
    </row>
    <row r="24" customFormat="false" ht="30" hidden="false" customHeight="true" outlineLevel="0" collapsed="false">
      <c r="A24" s="22"/>
      <c r="B24" s="23"/>
      <c r="C24" s="23"/>
      <c r="D24" s="23"/>
      <c r="E24" s="24"/>
      <c r="F24" s="24"/>
      <c r="G24" s="24"/>
      <c r="H24" s="24"/>
      <c r="I24" s="24"/>
      <c r="J24" s="24"/>
      <c r="K24" s="24"/>
      <c r="L24" s="24"/>
      <c r="M24" s="22"/>
      <c r="N24" s="23"/>
      <c r="O24" s="22"/>
      <c r="P24" s="25" t="str">
        <f aca="false">IF(X24="","",INDEX(参数!$B$4:$B$6,X24))</f>
        <v/>
      </c>
      <c r="Q24" s="25" t="str">
        <f aca="false">IF(Z24="","",INDEX(参数!$B$4:$B$6,Z24))</f>
        <v/>
      </c>
      <c r="R24" s="25" t="str">
        <f aca="false">IF(OR(X24="",Z24=""),"",INDEX(参数!$B$26:$D$28,X24,Z24))</f>
        <v/>
      </c>
      <c r="S24" s="25" t="str">
        <f aca="false">IF(OR(AA24="",I24=""),"",INDEX(参数!$B$18:$B$22,MAX(1,MIN(5,AA24+2-MATCH(I24,参数!$B$9:$B$11,0)))))</f>
        <v/>
      </c>
      <c r="T24" s="26" t="str">
        <f aca="false">IF(Z24="","",IF(AND(Z24=3,M24="C"),"请核实：激活程度为高，但没有确立的地缘政治关联（C级）",IF(AND(Z24&gt;=2,M24=""),"请填写证据等级","")))</f>
        <v/>
      </c>
      <c r="U24" s="24"/>
      <c r="V24" s="23"/>
      <c r="W24" s="27" t="str">
        <f aca="false">IF(COUNTA(E24:H24)&lt;4,"",AVERAGE(MATCH(E24,参数!$B$4:$B$6,0),MATCH(F24,参数!$B$4:$B$6,0),MATCH(G24,参数!$B$4:$B$6,0),MATCH(H24,参数!$B$4:$B$6,0)))</f>
        <v/>
      </c>
      <c r="X24" s="25" t="str">
        <f aca="false">IF(W24="","",IF(W24&gt;=参数!$B$14,3,IF(W24&gt;=参数!$B$15,2,1)))</f>
        <v/>
      </c>
      <c r="Y24" s="27" t="str">
        <f aca="false">IF(COUNTA(J24:L24)&lt;3,"",AVERAGE(MATCH(J24,参数!$B$4:$B$6,0),MATCH(K24,参数!$B$4:$B$6,0),MATCH(L24,参数!$B$4:$B$6,0)))</f>
        <v/>
      </c>
      <c r="Z24" s="25" t="str">
        <f aca="false">IF(Y24="","",IF(Y24&gt;=参数!$B$14,3,IF(Y24&gt;=参数!$B$15,2,1)))</f>
        <v/>
      </c>
      <c r="AA24" s="25" t="str">
        <f aca="false">IF(R24="","",MATCH(R24,参数!$B$18:$B$22,0))</f>
        <v/>
      </c>
    </row>
    <row r="25" customFormat="false" ht="30" hidden="false" customHeight="true" outlineLevel="0" collapsed="false">
      <c r="A25" s="22"/>
      <c r="B25" s="23"/>
      <c r="C25" s="23"/>
      <c r="D25" s="23"/>
      <c r="E25" s="24"/>
      <c r="F25" s="24"/>
      <c r="G25" s="24"/>
      <c r="H25" s="24"/>
      <c r="I25" s="24"/>
      <c r="J25" s="24"/>
      <c r="K25" s="24"/>
      <c r="L25" s="24"/>
      <c r="M25" s="22"/>
      <c r="N25" s="23"/>
      <c r="O25" s="22"/>
      <c r="P25" s="25" t="str">
        <f aca="false">IF(X25="","",INDEX(参数!$B$4:$B$6,X25))</f>
        <v/>
      </c>
      <c r="Q25" s="25" t="str">
        <f aca="false">IF(Z25="","",INDEX(参数!$B$4:$B$6,Z25))</f>
        <v/>
      </c>
      <c r="R25" s="25" t="str">
        <f aca="false">IF(OR(X25="",Z25=""),"",INDEX(参数!$B$26:$D$28,X25,Z25))</f>
        <v/>
      </c>
      <c r="S25" s="25" t="str">
        <f aca="false">IF(OR(AA25="",I25=""),"",INDEX(参数!$B$18:$B$22,MAX(1,MIN(5,AA25+2-MATCH(I25,参数!$B$9:$B$11,0)))))</f>
        <v/>
      </c>
      <c r="T25" s="26" t="str">
        <f aca="false">IF(Z25="","",IF(AND(Z25=3,M25="C"),"请核实：激活程度为高，但没有确立的地缘政治关联（C级）",IF(AND(Z25&gt;=2,M25=""),"请填写证据等级","")))</f>
        <v/>
      </c>
      <c r="U25" s="24"/>
      <c r="V25" s="23"/>
      <c r="W25" s="27" t="str">
        <f aca="false">IF(COUNTA(E25:H25)&lt;4,"",AVERAGE(MATCH(E25,参数!$B$4:$B$6,0),MATCH(F25,参数!$B$4:$B$6,0),MATCH(G25,参数!$B$4:$B$6,0),MATCH(H25,参数!$B$4:$B$6,0)))</f>
        <v/>
      </c>
      <c r="X25" s="25" t="str">
        <f aca="false">IF(W25="","",IF(W25&gt;=参数!$B$14,3,IF(W25&gt;=参数!$B$15,2,1)))</f>
        <v/>
      </c>
      <c r="Y25" s="27" t="str">
        <f aca="false">IF(COUNTA(J25:L25)&lt;3,"",AVERAGE(MATCH(J25,参数!$B$4:$B$6,0),MATCH(K25,参数!$B$4:$B$6,0),MATCH(L25,参数!$B$4:$B$6,0)))</f>
        <v/>
      </c>
      <c r="Z25" s="25" t="str">
        <f aca="false">IF(Y25="","",IF(Y25&gt;=参数!$B$14,3,IF(Y25&gt;=参数!$B$15,2,1)))</f>
        <v/>
      </c>
      <c r="AA25" s="25" t="str">
        <f aca="false">IF(R25="","",MATCH(R25,参数!$B$18:$B$22,0))</f>
        <v/>
      </c>
    </row>
    <row r="26" customFormat="false" ht="30" hidden="false" customHeight="true" outlineLevel="0" collapsed="false">
      <c r="A26" s="22"/>
      <c r="B26" s="23"/>
      <c r="C26" s="23"/>
      <c r="D26" s="23"/>
      <c r="E26" s="24"/>
      <c r="F26" s="24"/>
      <c r="G26" s="24"/>
      <c r="H26" s="24"/>
      <c r="I26" s="24"/>
      <c r="J26" s="24"/>
      <c r="K26" s="24"/>
      <c r="L26" s="24"/>
      <c r="M26" s="22"/>
      <c r="N26" s="23"/>
      <c r="O26" s="22"/>
      <c r="P26" s="25" t="str">
        <f aca="false">IF(X26="","",INDEX(参数!$B$4:$B$6,X26))</f>
        <v/>
      </c>
      <c r="Q26" s="25" t="str">
        <f aca="false">IF(Z26="","",INDEX(参数!$B$4:$B$6,Z26))</f>
        <v/>
      </c>
      <c r="R26" s="25" t="str">
        <f aca="false">IF(OR(X26="",Z26=""),"",INDEX(参数!$B$26:$D$28,X26,Z26))</f>
        <v/>
      </c>
      <c r="S26" s="25" t="str">
        <f aca="false">IF(OR(AA26="",I26=""),"",INDEX(参数!$B$18:$B$22,MAX(1,MIN(5,AA26+2-MATCH(I26,参数!$B$9:$B$11,0)))))</f>
        <v/>
      </c>
      <c r="T26" s="26" t="str">
        <f aca="false">IF(Z26="","",IF(AND(Z26=3,M26="C"),"请核实：激活程度为高，但没有确立的地缘政治关联（C级）",IF(AND(Z26&gt;=2,M26=""),"请填写证据等级","")))</f>
        <v/>
      </c>
      <c r="U26" s="24"/>
      <c r="V26" s="23"/>
      <c r="W26" s="27" t="str">
        <f aca="false">IF(COUNTA(E26:H26)&lt;4,"",AVERAGE(MATCH(E26,参数!$B$4:$B$6,0),MATCH(F26,参数!$B$4:$B$6,0),MATCH(G26,参数!$B$4:$B$6,0),MATCH(H26,参数!$B$4:$B$6,0)))</f>
        <v/>
      </c>
      <c r="X26" s="25" t="str">
        <f aca="false">IF(W26="","",IF(W26&gt;=参数!$B$14,3,IF(W26&gt;=参数!$B$15,2,1)))</f>
        <v/>
      </c>
      <c r="Y26" s="27" t="str">
        <f aca="false">IF(COUNTA(J26:L26)&lt;3,"",AVERAGE(MATCH(J26,参数!$B$4:$B$6,0),MATCH(K26,参数!$B$4:$B$6,0),MATCH(L26,参数!$B$4:$B$6,0)))</f>
        <v/>
      </c>
      <c r="Z26" s="25" t="str">
        <f aca="false">IF(Y26="","",IF(Y26&gt;=参数!$B$14,3,IF(Y26&gt;=参数!$B$15,2,1)))</f>
        <v/>
      </c>
      <c r="AA26" s="25" t="str">
        <f aca="false">IF(R26="","",MATCH(R26,参数!$B$18:$B$22,0))</f>
        <v/>
      </c>
    </row>
    <row r="27" customFormat="false" ht="30" hidden="false" customHeight="true" outlineLevel="0" collapsed="false">
      <c r="A27" s="22"/>
      <c r="B27" s="23"/>
      <c r="C27" s="23"/>
      <c r="D27" s="23"/>
      <c r="E27" s="24"/>
      <c r="F27" s="24"/>
      <c r="G27" s="24"/>
      <c r="H27" s="24"/>
      <c r="I27" s="24"/>
      <c r="J27" s="24"/>
      <c r="K27" s="24"/>
      <c r="L27" s="24"/>
      <c r="M27" s="22"/>
      <c r="N27" s="23"/>
      <c r="O27" s="22"/>
      <c r="P27" s="25" t="str">
        <f aca="false">IF(X27="","",INDEX(参数!$B$4:$B$6,X27))</f>
        <v/>
      </c>
      <c r="Q27" s="25" t="str">
        <f aca="false">IF(Z27="","",INDEX(参数!$B$4:$B$6,Z27))</f>
        <v/>
      </c>
      <c r="R27" s="25" t="str">
        <f aca="false">IF(OR(X27="",Z27=""),"",INDEX(参数!$B$26:$D$28,X27,Z27))</f>
        <v/>
      </c>
      <c r="S27" s="25" t="str">
        <f aca="false">IF(OR(AA27="",I27=""),"",INDEX(参数!$B$18:$B$22,MAX(1,MIN(5,AA27+2-MATCH(I27,参数!$B$9:$B$11,0)))))</f>
        <v/>
      </c>
      <c r="T27" s="26" t="str">
        <f aca="false">IF(Z27="","",IF(AND(Z27=3,M27="C"),"请核实：激活程度为高，但没有确立的地缘政治关联（C级）",IF(AND(Z27&gt;=2,M27=""),"请填写证据等级","")))</f>
        <v/>
      </c>
      <c r="U27" s="24"/>
      <c r="V27" s="23"/>
      <c r="W27" s="27" t="str">
        <f aca="false">IF(COUNTA(E27:H27)&lt;4,"",AVERAGE(MATCH(E27,参数!$B$4:$B$6,0),MATCH(F27,参数!$B$4:$B$6,0),MATCH(G27,参数!$B$4:$B$6,0),MATCH(H27,参数!$B$4:$B$6,0)))</f>
        <v/>
      </c>
      <c r="X27" s="25" t="str">
        <f aca="false">IF(W27="","",IF(W27&gt;=参数!$B$14,3,IF(W27&gt;=参数!$B$15,2,1)))</f>
        <v/>
      </c>
      <c r="Y27" s="27" t="str">
        <f aca="false">IF(COUNTA(J27:L27)&lt;3,"",AVERAGE(MATCH(J27,参数!$B$4:$B$6,0),MATCH(K27,参数!$B$4:$B$6,0),MATCH(L27,参数!$B$4:$B$6,0)))</f>
        <v/>
      </c>
      <c r="Z27" s="25" t="str">
        <f aca="false">IF(Y27="","",IF(Y27&gt;=参数!$B$14,3,IF(Y27&gt;=参数!$B$15,2,1)))</f>
        <v/>
      </c>
      <c r="AA27" s="25" t="str">
        <f aca="false">IF(R27="","",MATCH(R27,参数!$B$18:$B$22,0))</f>
        <v/>
      </c>
    </row>
    <row r="28" customFormat="false" ht="30" hidden="false" customHeight="true" outlineLevel="0" collapsed="false">
      <c r="A28" s="22"/>
      <c r="B28" s="23"/>
      <c r="C28" s="23"/>
      <c r="D28" s="23"/>
      <c r="E28" s="24"/>
      <c r="F28" s="24"/>
      <c r="G28" s="24"/>
      <c r="H28" s="24"/>
      <c r="I28" s="24"/>
      <c r="J28" s="24"/>
      <c r="K28" s="24"/>
      <c r="L28" s="24"/>
      <c r="M28" s="22"/>
      <c r="N28" s="23"/>
      <c r="O28" s="22"/>
      <c r="P28" s="25" t="str">
        <f aca="false">IF(X28="","",INDEX(参数!$B$4:$B$6,X28))</f>
        <v/>
      </c>
      <c r="Q28" s="25" t="str">
        <f aca="false">IF(Z28="","",INDEX(参数!$B$4:$B$6,Z28))</f>
        <v/>
      </c>
      <c r="R28" s="25" t="str">
        <f aca="false">IF(OR(X28="",Z28=""),"",INDEX(参数!$B$26:$D$28,X28,Z28))</f>
        <v/>
      </c>
      <c r="S28" s="25" t="str">
        <f aca="false">IF(OR(AA28="",I28=""),"",INDEX(参数!$B$18:$B$22,MAX(1,MIN(5,AA28+2-MATCH(I28,参数!$B$9:$B$11,0)))))</f>
        <v/>
      </c>
      <c r="T28" s="26" t="str">
        <f aca="false">IF(Z28="","",IF(AND(Z28=3,M28="C"),"请核实：激活程度为高，但没有确立的地缘政治关联（C级）",IF(AND(Z28&gt;=2,M28=""),"请填写证据等级","")))</f>
        <v/>
      </c>
      <c r="U28" s="24"/>
      <c r="V28" s="23"/>
      <c r="W28" s="27" t="str">
        <f aca="false">IF(COUNTA(E28:H28)&lt;4,"",AVERAGE(MATCH(E28,参数!$B$4:$B$6,0),MATCH(F28,参数!$B$4:$B$6,0),MATCH(G28,参数!$B$4:$B$6,0),MATCH(H28,参数!$B$4:$B$6,0)))</f>
        <v/>
      </c>
      <c r="X28" s="25" t="str">
        <f aca="false">IF(W28="","",IF(W28&gt;=参数!$B$14,3,IF(W28&gt;=参数!$B$15,2,1)))</f>
        <v/>
      </c>
      <c r="Y28" s="27" t="str">
        <f aca="false">IF(COUNTA(J28:L28)&lt;3,"",AVERAGE(MATCH(J28,参数!$B$4:$B$6,0),MATCH(K28,参数!$B$4:$B$6,0),MATCH(L28,参数!$B$4:$B$6,0)))</f>
        <v/>
      </c>
      <c r="Z28" s="25" t="str">
        <f aca="false">IF(Y28="","",IF(Y28&gt;=参数!$B$14,3,IF(Y28&gt;=参数!$B$15,2,1)))</f>
        <v/>
      </c>
      <c r="AA28" s="25" t="str">
        <f aca="false">IF(R28="","",MATCH(R28,参数!$B$18:$B$22,0))</f>
        <v/>
      </c>
    </row>
    <row r="29" customFormat="false" ht="30" hidden="false" customHeight="true" outlineLevel="0" collapsed="false">
      <c r="A29" s="22"/>
      <c r="B29" s="23"/>
      <c r="C29" s="23"/>
      <c r="D29" s="23"/>
      <c r="E29" s="24"/>
      <c r="F29" s="24"/>
      <c r="G29" s="24"/>
      <c r="H29" s="24"/>
      <c r="I29" s="24"/>
      <c r="J29" s="24"/>
      <c r="K29" s="24"/>
      <c r="L29" s="24"/>
      <c r="M29" s="22"/>
      <c r="N29" s="23"/>
      <c r="O29" s="22"/>
      <c r="P29" s="25" t="str">
        <f aca="false">IF(X29="","",INDEX(参数!$B$4:$B$6,X29))</f>
        <v/>
      </c>
      <c r="Q29" s="25" t="str">
        <f aca="false">IF(Z29="","",INDEX(参数!$B$4:$B$6,Z29))</f>
        <v/>
      </c>
      <c r="R29" s="25" t="str">
        <f aca="false">IF(OR(X29="",Z29=""),"",INDEX(参数!$B$26:$D$28,X29,Z29))</f>
        <v/>
      </c>
      <c r="S29" s="25" t="str">
        <f aca="false">IF(OR(AA29="",I29=""),"",INDEX(参数!$B$18:$B$22,MAX(1,MIN(5,AA29+2-MATCH(I29,参数!$B$9:$B$11,0)))))</f>
        <v/>
      </c>
      <c r="T29" s="26" t="str">
        <f aca="false">IF(Z29="","",IF(AND(Z29=3,M29="C"),"请核实：激活程度为高，但没有确立的地缘政治关联（C级）",IF(AND(Z29&gt;=2,M29=""),"请填写证据等级","")))</f>
        <v/>
      </c>
      <c r="U29" s="24"/>
      <c r="V29" s="23"/>
      <c r="W29" s="27" t="str">
        <f aca="false">IF(COUNTA(E29:H29)&lt;4,"",AVERAGE(MATCH(E29,参数!$B$4:$B$6,0),MATCH(F29,参数!$B$4:$B$6,0),MATCH(G29,参数!$B$4:$B$6,0),MATCH(H29,参数!$B$4:$B$6,0)))</f>
        <v/>
      </c>
      <c r="X29" s="25" t="str">
        <f aca="false">IF(W29="","",IF(W29&gt;=参数!$B$14,3,IF(W29&gt;=参数!$B$15,2,1)))</f>
        <v/>
      </c>
      <c r="Y29" s="27" t="str">
        <f aca="false">IF(COUNTA(J29:L29)&lt;3,"",AVERAGE(MATCH(J29,参数!$B$4:$B$6,0),MATCH(K29,参数!$B$4:$B$6,0),MATCH(L29,参数!$B$4:$B$6,0)))</f>
        <v/>
      </c>
      <c r="Z29" s="25" t="str">
        <f aca="false">IF(Y29="","",IF(Y29&gt;=参数!$B$14,3,IF(Y29&gt;=参数!$B$15,2,1)))</f>
        <v/>
      </c>
      <c r="AA29" s="25" t="str">
        <f aca="false">IF(R29="","",MATCH(R29,参数!$B$18:$B$22,0))</f>
        <v/>
      </c>
    </row>
    <row r="30" customFormat="false" ht="30" hidden="false" customHeight="true" outlineLevel="0" collapsed="false">
      <c r="A30" s="22"/>
      <c r="B30" s="23"/>
      <c r="C30" s="23"/>
      <c r="D30" s="23"/>
      <c r="E30" s="24"/>
      <c r="F30" s="24"/>
      <c r="G30" s="24"/>
      <c r="H30" s="24"/>
      <c r="I30" s="24"/>
      <c r="J30" s="24"/>
      <c r="K30" s="24"/>
      <c r="L30" s="24"/>
      <c r="M30" s="22"/>
      <c r="N30" s="23"/>
      <c r="O30" s="22"/>
      <c r="P30" s="25" t="str">
        <f aca="false">IF(X30="","",INDEX(参数!$B$4:$B$6,X30))</f>
        <v/>
      </c>
      <c r="Q30" s="25" t="str">
        <f aca="false">IF(Z30="","",INDEX(参数!$B$4:$B$6,Z30))</f>
        <v/>
      </c>
      <c r="R30" s="25" t="str">
        <f aca="false">IF(OR(X30="",Z30=""),"",INDEX(参数!$B$26:$D$28,X30,Z30))</f>
        <v/>
      </c>
      <c r="S30" s="25" t="str">
        <f aca="false">IF(OR(AA30="",I30=""),"",INDEX(参数!$B$18:$B$22,MAX(1,MIN(5,AA30+2-MATCH(I30,参数!$B$9:$B$11,0)))))</f>
        <v/>
      </c>
      <c r="T30" s="26" t="str">
        <f aca="false">IF(Z30="","",IF(AND(Z30=3,M30="C"),"请核实：激活程度为高，但没有确立的地缘政治关联（C级）",IF(AND(Z30&gt;=2,M30=""),"请填写证据等级","")))</f>
        <v/>
      </c>
      <c r="U30" s="24"/>
      <c r="V30" s="23"/>
      <c r="W30" s="27" t="str">
        <f aca="false">IF(COUNTA(E30:H30)&lt;4,"",AVERAGE(MATCH(E30,参数!$B$4:$B$6,0),MATCH(F30,参数!$B$4:$B$6,0),MATCH(G30,参数!$B$4:$B$6,0),MATCH(H30,参数!$B$4:$B$6,0)))</f>
        <v/>
      </c>
      <c r="X30" s="25" t="str">
        <f aca="false">IF(W30="","",IF(W30&gt;=参数!$B$14,3,IF(W30&gt;=参数!$B$15,2,1)))</f>
        <v/>
      </c>
      <c r="Y30" s="27" t="str">
        <f aca="false">IF(COUNTA(J30:L30)&lt;3,"",AVERAGE(MATCH(J30,参数!$B$4:$B$6,0),MATCH(K30,参数!$B$4:$B$6,0),MATCH(L30,参数!$B$4:$B$6,0)))</f>
        <v/>
      </c>
      <c r="Z30" s="25" t="str">
        <f aca="false">IF(Y30="","",IF(Y30&gt;=参数!$B$14,3,IF(Y30&gt;=参数!$B$15,2,1)))</f>
        <v/>
      </c>
      <c r="AA30" s="25" t="str">
        <f aca="false">IF(R30="","",MATCH(R30,参数!$B$18:$B$22,0))</f>
        <v/>
      </c>
    </row>
    <row r="31" customFormat="false" ht="30" hidden="false" customHeight="true" outlineLevel="0" collapsed="false">
      <c r="A31" s="22"/>
      <c r="B31" s="23"/>
      <c r="C31" s="23"/>
      <c r="D31" s="23"/>
      <c r="E31" s="24"/>
      <c r="F31" s="24"/>
      <c r="G31" s="24"/>
      <c r="H31" s="24"/>
      <c r="I31" s="24"/>
      <c r="J31" s="24"/>
      <c r="K31" s="24"/>
      <c r="L31" s="24"/>
      <c r="M31" s="22"/>
      <c r="N31" s="23"/>
      <c r="O31" s="22"/>
      <c r="P31" s="25" t="str">
        <f aca="false">IF(X31="","",INDEX(参数!$B$4:$B$6,X31))</f>
        <v/>
      </c>
      <c r="Q31" s="25" t="str">
        <f aca="false">IF(Z31="","",INDEX(参数!$B$4:$B$6,Z31))</f>
        <v/>
      </c>
      <c r="R31" s="25" t="str">
        <f aca="false">IF(OR(X31="",Z31=""),"",INDEX(参数!$B$26:$D$28,X31,Z31))</f>
        <v/>
      </c>
      <c r="S31" s="25" t="str">
        <f aca="false">IF(OR(AA31="",I31=""),"",INDEX(参数!$B$18:$B$22,MAX(1,MIN(5,AA31+2-MATCH(I31,参数!$B$9:$B$11,0)))))</f>
        <v/>
      </c>
      <c r="T31" s="26" t="str">
        <f aca="false">IF(Z31="","",IF(AND(Z31=3,M31="C"),"请核实：激活程度为高，但没有确立的地缘政治关联（C级）",IF(AND(Z31&gt;=2,M31=""),"请填写证据等级","")))</f>
        <v/>
      </c>
      <c r="U31" s="24"/>
      <c r="V31" s="23"/>
      <c r="W31" s="27" t="str">
        <f aca="false">IF(COUNTA(E31:H31)&lt;4,"",AVERAGE(MATCH(E31,参数!$B$4:$B$6,0),MATCH(F31,参数!$B$4:$B$6,0),MATCH(G31,参数!$B$4:$B$6,0),MATCH(H31,参数!$B$4:$B$6,0)))</f>
        <v/>
      </c>
      <c r="X31" s="25" t="str">
        <f aca="false">IF(W31="","",IF(W31&gt;=参数!$B$14,3,IF(W31&gt;=参数!$B$15,2,1)))</f>
        <v/>
      </c>
      <c r="Y31" s="27" t="str">
        <f aca="false">IF(COUNTA(J31:L31)&lt;3,"",AVERAGE(MATCH(J31,参数!$B$4:$B$6,0),MATCH(K31,参数!$B$4:$B$6,0),MATCH(L31,参数!$B$4:$B$6,0)))</f>
        <v/>
      </c>
      <c r="Z31" s="25" t="str">
        <f aca="false">IF(Y31="","",IF(Y31&gt;=参数!$B$14,3,IF(Y31&gt;=参数!$B$15,2,1)))</f>
        <v/>
      </c>
      <c r="AA31" s="25" t="str">
        <f aca="false">IF(R31="","",MATCH(R31,参数!$B$18:$B$22,0))</f>
        <v/>
      </c>
    </row>
    <row r="32" customFormat="false" ht="30" hidden="false" customHeight="true" outlineLevel="0" collapsed="false">
      <c r="A32" s="22"/>
      <c r="B32" s="23"/>
      <c r="C32" s="23"/>
      <c r="D32" s="23"/>
      <c r="E32" s="24"/>
      <c r="F32" s="24"/>
      <c r="G32" s="24"/>
      <c r="H32" s="24"/>
      <c r="I32" s="24"/>
      <c r="J32" s="24"/>
      <c r="K32" s="24"/>
      <c r="L32" s="24"/>
      <c r="M32" s="22"/>
      <c r="N32" s="23"/>
      <c r="O32" s="22"/>
      <c r="P32" s="25" t="str">
        <f aca="false">IF(X32="","",INDEX(参数!$B$4:$B$6,X32))</f>
        <v/>
      </c>
      <c r="Q32" s="25" t="str">
        <f aca="false">IF(Z32="","",INDEX(参数!$B$4:$B$6,Z32))</f>
        <v/>
      </c>
      <c r="R32" s="25" t="str">
        <f aca="false">IF(OR(X32="",Z32=""),"",INDEX(参数!$B$26:$D$28,X32,Z32))</f>
        <v/>
      </c>
      <c r="S32" s="25" t="str">
        <f aca="false">IF(OR(AA32="",I32=""),"",INDEX(参数!$B$18:$B$22,MAX(1,MIN(5,AA32+2-MATCH(I32,参数!$B$9:$B$11,0)))))</f>
        <v/>
      </c>
      <c r="T32" s="26" t="str">
        <f aca="false">IF(Z32="","",IF(AND(Z32=3,M32="C"),"请核实：激活程度为高，但没有确立的地缘政治关联（C级）",IF(AND(Z32&gt;=2,M32=""),"请填写证据等级","")))</f>
        <v/>
      </c>
      <c r="U32" s="24"/>
      <c r="V32" s="23"/>
      <c r="W32" s="27" t="str">
        <f aca="false">IF(COUNTA(E32:H32)&lt;4,"",AVERAGE(MATCH(E32,参数!$B$4:$B$6,0),MATCH(F32,参数!$B$4:$B$6,0),MATCH(G32,参数!$B$4:$B$6,0),MATCH(H32,参数!$B$4:$B$6,0)))</f>
        <v/>
      </c>
      <c r="X32" s="25" t="str">
        <f aca="false">IF(W32="","",IF(W32&gt;=参数!$B$14,3,IF(W32&gt;=参数!$B$15,2,1)))</f>
        <v/>
      </c>
      <c r="Y32" s="27" t="str">
        <f aca="false">IF(COUNTA(J32:L32)&lt;3,"",AVERAGE(MATCH(J32,参数!$B$4:$B$6,0),MATCH(K32,参数!$B$4:$B$6,0),MATCH(L32,参数!$B$4:$B$6,0)))</f>
        <v/>
      </c>
      <c r="Z32" s="25" t="str">
        <f aca="false">IF(Y32="","",IF(Y32&gt;=参数!$B$14,3,IF(Y32&gt;=参数!$B$15,2,1)))</f>
        <v/>
      </c>
      <c r="AA32" s="25" t="str">
        <f aca="false">IF(R32="","",MATCH(R32,参数!$B$18:$B$22,0))</f>
        <v/>
      </c>
    </row>
    <row r="33" customFormat="false" ht="30" hidden="false" customHeight="true" outlineLevel="0" collapsed="false">
      <c r="A33" s="22"/>
      <c r="B33" s="23"/>
      <c r="C33" s="23"/>
      <c r="D33" s="23"/>
      <c r="E33" s="24"/>
      <c r="F33" s="24"/>
      <c r="G33" s="24"/>
      <c r="H33" s="24"/>
      <c r="I33" s="24"/>
      <c r="J33" s="24"/>
      <c r="K33" s="24"/>
      <c r="L33" s="24"/>
      <c r="M33" s="22"/>
      <c r="N33" s="23"/>
      <c r="O33" s="22"/>
      <c r="P33" s="25" t="str">
        <f aca="false">IF(X33="","",INDEX(参数!$B$4:$B$6,X33))</f>
        <v/>
      </c>
      <c r="Q33" s="25" t="str">
        <f aca="false">IF(Z33="","",INDEX(参数!$B$4:$B$6,Z33))</f>
        <v/>
      </c>
      <c r="R33" s="25" t="str">
        <f aca="false">IF(OR(X33="",Z33=""),"",INDEX(参数!$B$26:$D$28,X33,Z33))</f>
        <v/>
      </c>
      <c r="S33" s="25" t="str">
        <f aca="false">IF(OR(AA33="",I33=""),"",INDEX(参数!$B$18:$B$22,MAX(1,MIN(5,AA33+2-MATCH(I33,参数!$B$9:$B$11,0)))))</f>
        <v/>
      </c>
      <c r="T33" s="26" t="str">
        <f aca="false">IF(Z33="","",IF(AND(Z33=3,M33="C"),"请核实：激活程度为高，但没有确立的地缘政治关联（C级）",IF(AND(Z33&gt;=2,M33=""),"请填写证据等级","")))</f>
        <v/>
      </c>
      <c r="U33" s="24"/>
      <c r="V33" s="23"/>
      <c r="W33" s="27" t="str">
        <f aca="false">IF(COUNTA(E33:H33)&lt;4,"",AVERAGE(MATCH(E33,参数!$B$4:$B$6,0),MATCH(F33,参数!$B$4:$B$6,0),MATCH(G33,参数!$B$4:$B$6,0),MATCH(H33,参数!$B$4:$B$6,0)))</f>
        <v/>
      </c>
      <c r="X33" s="25" t="str">
        <f aca="false">IF(W33="","",IF(W33&gt;=参数!$B$14,3,IF(W33&gt;=参数!$B$15,2,1)))</f>
        <v/>
      </c>
      <c r="Y33" s="27" t="str">
        <f aca="false">IF(COUNTA(J33:L33)&lt;3,"",AVERAGE(MATCH(J33,参数!$B$4:$B$6,0),MATCH(K33,参数!$B$4:$B$6,0),MATCH(L33,参数!$B$4:$B$6,0)))</f>
        <v/>
      </c>
      <c r="Z33" s="25" t="str">
        <f aca="false">IF(Y33="","",IF(Y33&gt;=参数!$B$14,3,IF(Y33&gt;=参数!$B$15,2,1)))</f>
        <v/>
      </c>
      <c r="AA33" s="25" t="str">
        <f aca="false">IF(R33="","",MATCH(R33,参数!$B$18:$B$22,0))</f>
        <v/>
      </c>
    </row>
    <row r="34" customFormat="false" ht="30" hidden="false" customHeight="true" outlineLevel="0" collapsed="false">
      <c r="A34" s="22"/>
      <c r="B34" s="23"/>
      <c r="C34" s="23"/>
      <c r="D34" s="23"/>
      <c r="E34" s="24"/>
      <c r="F34" s="24"/>
      <c r="G34" s="24"/>
      <c r="H34" s="24"/>
      <c r="I34" s="24"/>
      <c r="J34" s="24"/>
      <c r="K34" s="24"/>
      <c r="L34" s="24"/>
      <c r="M34" s="22"/>
      <c r="N34" s="23"/>
      <c r="O34" s="22"/>
      <c r="P34" s="25" t="str">
        <f aca="false">IF(X34="","",INDEX(参数!$B$4:$B$6,X34))</f>
        <v/>
      </c>
      <c r="Q34" s="25" t="str">
        <f aca="false">IF(Z34="","",INDEX(参数!$B$4:$B$6,Z34))</f>
        <v/>
      </c>
      <c r="R34" s="25" t="str">
        <f aca="false">IF(OR(X34="",Z34=""),"",INDEX(参数!$B$26:$D$28,X34,Z34))</f>
        <v/>
      </c>
      <c r="S34" s="25" t="str">
        <f aca="false">IF(OR(AA34="",I34=""),"",INDEX(参数!$B$18:$B$22,MAX(1,MIN(5,AA34+2-MATCH(I34,参数!$B$9:$B$11,0)))))</f>
        <v/>
      </c>
      <c r="T34" s="26" t="str">
        <f aca="false">IF(Z34="","",IF(AND(Z34=3,M34="C"),"请核实：激活程度为高，但没有确立的地缘政治关联（C级）",IF(AND(Z34&gt;=2,M34=""),"请填写证据等级","")))</f>
        <v/>
      </c>
      <c r="U34" s="24"/>
      <c r="V34" s="23"/>
      <c r="W34" s="27" t="str">
        <f aca="false">IF(COUNTA(E34:H34)&lt;4,"",AVERAGE(MATCH(E34,参数!$B$4:$B$6,0),MATCH(F34,参数!$B$4:$B$6,0),MATCH(G34,参数!$B$4:$B$6,0),MATCH(H34,参数!$B$4:$B$6,0)))</f>
        <v/>
      </c>
      <c r="X34" s="25" t="str">
        <f aca="false">IF(W34="","",IF(W34&gt;=参数!$B$14,3,IF(W34&gt;=参数!$B$15,2,1)))</f>
        <v/>
      </c>
      <c r="Y34" s="27" t="str">
        <f aca="false">IF(COUNTA(J34:L34)&lt;3,"",AVERAGE(MATCH(J34,参数!$B$4:$B$6,0),MATCH(K34,参数!$B$4:$B$6,0),MATCH(L34,参数!$B$4:$B$6,0)))</f>
        <v/>
      </c>
      <c r="Z34" s="25" t="str">
        <f aca="false">IF(Y34="","",IF(Y34&gt;=参数!$B$14,3,IF(Y34&gt;=参数!$B$15,2,1)))</f>
        <v/>
      </c>
      <c r="AA34" s="25" t="str">
        <f aca="false">IF(R34="","",MATCH(R34,参数!$B$18:$B$22,0))</f>
        <v/>
      </c>
    </row>
    <row r="35" customFormat="false" ht="30" hidden="false" customHeight="true" outlineLevel="0" collapsed="false">
      <c r="A35" s="22"/>
      <c r="B35" s="23"/>
      <c r="C35" s="23"/>
      <c r="D35" s="23"/>
      <c r="E35" s="24"/>
      <c r="F35" s="24"/>
      <c r="G35" s="24"/>
      <c r="H35" s="24"/>
      <c r="I35" s="24"/>
      <c r="J35" s="24"/>
      <c r="K35" s="24"/>
      <c r="L35" s="24"/>
      <c r="M35" s="22"/>
      <c r="N35" s="23"/>
      <c r="O35" s="22"/>
      <c r="P35" s="25" t="str">
        <f aca="false">IF(X35="","",INDEX(参数!$B$4:$B$6,X35))</f>
        <v/>
      </c>
      <c r="Q35" s="25" t="str">
        <f aca="false">IF(Z35="","",INDEX(参数!$B$4:$B$6,Z35))</f>
        <v/>
      </c>
      <c r="R35" s="25" t="str">
        <f aca="false">IF(OR(X35="",Z35=""),"",INDEX(参数!$B$26:$D$28,X35,Z35))</f>
        <v/>
      </c>
      <c r="S35" s="25" t="str">
        <f aca="false">IF(OR(AA35="",I35=""),"",INDEX(参数!$B$18:$B$22,MAX(1,MIN(5,AA35+2-MATCH(I35,参数!$B$9:$B$11,0)))))</f>
        <v/>
      </c>
      <c r="T35" s="26" t="str">
        <f aca="false">IF(Z35="","",IF(AND(Z35=3,M35="C"),"请核实：激活程度为高，但没有确立的地缘政治关联（C级）",IF(AND(Z35&gt;=2,M35=""),"请填写证据等级","")))</f>
        <v/>
      </c>
      <c r="U35" s="24"/>
      <c r="V35" s="23"/>
      <c r="W35" s="27" t="str">
        <f aca="false">IF(COUNTA(E35:H35)&lt;4,"",AVERAGE(MATCH(E35,参数!$B$4:$B$6,0),MATCH(F35,参数!$B$4:$B$6,0),MATCH(G35,参数!$B$4:$B$6,0),MATCH(H35,参数!$B$4:$B$6,0)))</f>
        <v/>
      </c>
      <c r="X35" s="25" t="str">
        <f aca="false">IF(W35="","",IF(W35&gt;=参数!$B$14,3,IF(W35&gt;=参数!$B$15,2,1)))</f>
        <v/>
      </c>
      <c r="Y35" s="27" t="str">
        <f aca="false">IF(COUNTA(J35:L35)&lt;3,"",AVERAGE(MATCH(J35,参数!$B$4:$B$6,0),MATCH(K35,参数!$B$4:$B$6,0),MATCH(L35,参数!$B$4:$B$6,0)))</f>
        <v/>
      </c>
      <c r="Z35" s="25" t="str">
        <f aca="false">IF(Y35="","",IF(Y35&gt;=参数!$B$14,3,IF(Y35&gt;=参数!$B$15,2,1)))</f>
        <v/>
      </c>
      <c r="AA35" s="25" t="str">
        <f aca="false">IF(R35="","",MATCH(R35,参数!$B$18:$B$22,0))</f>
        <v/>
      </c>
    </row>
    <row r="36" customFormat="false" ht="30" hidden="false" customHeight="true" outlineLevel="0" collapsed="false">
      <c r="A36" s="22"/>
      <c r="B36" s="23"/>
      <c r="C36" s="23"/>
      <c r="D36" s="23"/>
      <c r="E36" s="24"/>
      <c r="F36" s="24"/>
      <c r="G36" s="24"/>
      <c r="H36" s="24"/>
      <c r="I36" s="24"/>
      <c r="J36" s="24"/>
      <c r="K36" s="24"/>
      <c r="L36" s="24"/>
      <c r="M36" s="22"/>
      <c r="N36" s="23"/>
      <c r="O36" s="22"/>
      <c r="P36" s="25" t="str">
        <f aca="false">IF(X36="","",INDEX(参数!$B$4:$B$6,X36))</f>
        <v/>
      </c>
      <c r="Q36" s="25" t="str">
        <f aca="false">IF(Z36="","",INDEX(参数!$B$4:$B$6,Z36))</f>
        <v/>
      </c>
      <c r="R36" s="25" t="str">
        <f aca="false">IF(OR(X36="",Z36=""),"",INDEX(参数!$B$26:$D$28,X36,Z36))</f>
        <v/>
      </c>
      <c r="S36" s="25" t="str">
        <f aca="false">IF(OR(AA36="",I36=""),"",INDEX(参数!$B$18:$B$22,MAX(1,MIN(5,AA36+2-MATCH(I36,参数!$B$9:$B$11,0)))))</f>
        <v/>
      </c>
      <c r="T36" s="26" t="str">
        <f aca="false">IF(Z36="","",IF(AND(Z36=3,M36="C"),"请核实：激活程度为高，但没有确立的地缘政治关联（C级）",IF(AND(Z36&gt;=2,M36=""),"请填写证据等级","")))</f>
        <v/>
      </c>
      <c r="U36" s="24"/>
      <c r="V36" s="23"/>
      <c r="W36" s="27" t="str">
        <f aca="false">IF(COUNTA(E36:H36)&lt;4,"",AVERAGE(MATCH(E36,参数!$B$4:$B$6,0),MATCH(F36,参数!$B$4:$B$6,0),MATCH(G36,参数!$B$4:$B$6,0),MATCH(H36,参数!$B$4:$B$6,0)))</f>
        <v/>
      </c>
      <c r="X36" s="25" t="str">
        <f aca="false">IF(W36="","",IF(W36&gt;=参数!$B$14,3,IF(W36&gt;=参数!$B$15,2,1)))</f>
        <v/>
      </c>
      <c r="Y36" s="27" t="str">
        <f aca="false">IF(COUNTA(J36:L36)&lt;3,"",AVERAGE(MATCH(J36,参数!$B$4:$B$6,0),MATCH(K36,参数!$B$4:$B$6,0),MATCH(L36,参数!$B$4:$B$6,0)))</f>
        <v/>
      </c>
      <c r="Z36" s="25" t="str">
        <f aca="false">IF(Y36="","",IF(Y36&gt;=参数!$B$14,3,IF(Y36&gt;=参数!$B$15,2,1)))</f>
        <v/>
      </c>
      <c r="AA36" s="25" t="str">
        <f aca="false">IF(R36="","",MATCH(R36,参数!$B$18:$B$22,0))</f>
        <v/>
      </c>
    </row>
    <row r="37" customFormat="false" ht="30" hidden="false" customHeight="true" outlineLevel="0" collapsed="false">
      <c r="A37" s="22"/>
      <c r="B37" s="23"/>
      <c r="C37" s="23"/>
      <c r="D37" s="23"/>
      <c r="E37" s="24"/>
      <c r="F37" s="24"/>
      <c r="G37" s="24"/>
      <c r="H37" s="24"/>
      <c r="I37" s="24"/>
      <c r="J37" s="24"/>
      <c r="K37" s="24"/>
      <c r="L37" s="24"/>
      <c r="M37" s="22"/>
      <c r="N37" s="23"/>
      <c r="O37" s="22"/>
      <c r="P37" s="25" t="str">
        <f aca="false">IF(X37="","",INDEX(参数!$B$4:$B$6,X37))</f>
        <v/>
      </c>
      <c r="Q37" s="25" t="str">
        <f aca="false">IF(Z37="","",INDEX(参数!$B$4:$B$6,Z37))</f>
        <v/>
      </c>
      <c r="R37" s="25" t="str">
        <f aca="false">IF(OR(X37="",Z37=""),"",INDEX(参数!$B$26:$D$28,X37,Z37))</f>
        <v/>
      </c>
      <c r="S37" s="25" t="str">
        <f aca="false">IF(OR(AA37="",I37=""),"",INDEX(参数!$B$18:$B$22,MAX(1,MIN(5,AA37+2-MATCH(I37,参数!$B$9:$B$11,0)))))</f>
        <v/>
      </c>
      <c r="T37" s="26" t="str">
        <f aca="false">IF(Z37="","",IF(AND(Z37=3,M37="C"),"请核实：激活程度为高，但没有确立的地缘政治关联（C级）",IF(AND(Z37&gt;=2,M37=""),"请填写证据等级","")))</f>
        <v/>
      </c>
      <c r="U37" s="24"/>
      <c r="V37" s="23"/>
      <c r="W37" s="27" t="str">
        <f aca="false">IF(COUNTA(E37:H37)&lt;4,"",AVERAGE(MATCH(E37,参数!$B$4:$B$6,0),MATCH(F37,参数!$B$4:$B$6,0),MATCH(G37,参数!$B$4:$B$6,0),MATCH(H37,参数!$B$4:$B$6,0)))</f>
        <v/>
      </c>
      <c r="X37" s="25" t="str">
        <f aca="false">IF(W37="","",IF(W37&gt;=参数!$B$14,3,IF(W37&gt;=参数!$B$15,2,1)))</f>
        <v/>
      </c>
      <c r="Y37" s="27" t="str">
        <f aca="false">IF(COUNTA(J37:L37)&lt;3,"",AVERAGE(MATCH(J37,参数!$B$4:$B$6,0),MATCH(K37,参数!$B$4:$B$6,0),MATCH(L37,参数!$B$4:$B$6,0)))</f>
        <v/>
      </c>
      <c r="Z37" s="25" t="str">
        <f aca="false">IF(Y37="","",IF(Y37&gt;=参数!$B$14,3,IF(Y37&gt;=参数!$B$15,2,1)))</f>
        <v/>
      </c>
      <c r="AA37" s="25" t="str">
        <f aca="false">IF(R37="","",MATCH(R37,参数!$B$18:$B$22,0))</f>
        <v/>
      </c>
    </row>
    <row r="38" customFormat="false" ht="30" hidden="false" customHeight="true" outlineLevel="0" collapsed="false">
      <c r="A38" s="22"/>
      <c r="B38" s="23"/>
      <c r="C38" s="23"/>
      <c r="D38" s="23"/>
      <c r="E38" s="24"/>
      <c r="F38" s="24"/>
      <c r="G38" s="24"/>
      <c r="H38" s="24"/>
      <c r="I38" s="24"/>
      <c r="J38" s="24"/>
      <c r="K38" s="24"/>
      <c r="L38" s="24"/>
      <c r="M38" s="22"/>
      <c r="N38" s="23"/>
      <c r="O38" s="22"/>
      <c r="P38" s="25" t="str">
        <f aca="false">IF(X38="","",INDEX(参数!$B$4:$B$6,X38))</f>
        <v/>
      </c>
      <c r="Q38" s="25" t="str">
        <f aca="false">IF(Z38="","",INDEX(参数!$B$4:$B$6,Z38))</f>
        <v/>
      </c>
      <c r="R38" s="25" t="str">
        <f aca="false">IF(OR(X38="",Z38=""),"",INDEX(参数!$B$26:$D$28,X38,Z38))</f>
        <v/>
      </c>
      <c r="S38" s="25" t="str">
        <f aca="false">IF(OR(AA38="",I38=""),"",INDEX(参数!$B$18:$B$22,MAX(1,MIN(5,AA38+2-MATCH(I38,参数!$B$9:$B$11,0)))))</f>
        <v/>
      </c>
      <c r="T38" s="26" t="str">
        <f aca="false">IF(Z38="","",IF(AND(Z38=3,M38="C"),"请核实：激活程度为高，但没有确立的地缘政治关联（C级）",IF(AND(Z38&gt;=2,M38=""),"请填写证据等级","")))</f>
        <v/>
      </c>
      <c r="U38" s="24"/>
      <c r="V38" s="23"/>
      <c r="W38" s="27" t="str">
        <f aca="false">IF(COUNTA(E38:H38)&lt;4,"",AVERAGE(MATCH(E38,参数!$B$4:$B$6,0),MATCH(F38,参数!$B$4:$B$6,0),MATCH(G38,参数!$B$4:$B$6,0),MATCH(H38,参数!$B$4:$B$6,0)))</f>
        <v/>
      </c>
      <c r="X38" s="25" t="str">
        <f aca="false">IF(W38="","",IF(W38&gt;=参数!$B$14,3,IF(W38&gt;=参数!$B$15,2,1)))</f>
        <v/>
      </c>
      <c r="Y38" s="27" t="str">
        <f aca="false">IF(COUNTA(J38:L38)&lt;3,"",AVERAGE(MATCH(J38,参数!$B$4:$B$6,0),MATCH(K38,参数!$B$4:$B$6,0),MATCH(L38,参数!$B$4:$B$6,0)))</f>
        <v/>
      </c>
      <c r="Z38" s="25" t="str">
        <f aca="false">IF(Y38="","",IF(Y38&gt;=参数!$B$14,3,IF(Y38&gt;=参数!$B$15,2,1)))</f>
        <v/>
      </c>
      <c r="AA38" s="25" t="str">
        <f aca="false">IF(R38="","",MATCH(R38,参数!$B$18:$B$22,0))</f>
        <v/>
      </c>
    </row>
    <row r="39" customFormat="false" ht="30" hidden="false" customHeight="true" outlineLevel="0" collapsed="false">
      <c r="A39" s="22"/>
      <c r="B39" s="23"/>
      <c r="C39" s="23"/>
      <c r="D39" s="23"/>
      <c r="E39" s="24"/>
      <c r="F39" s="24"/>
      <c r="G39" s="24"/>
      <c r="H39" s="24"/>
      <c r="I39" s="24"/>
      <c r="J39" s="24"/>
      <c r="K39" s="24"/>
      <c r="L39" s="24"/>
      <c r="M39" s="22"/>
      <c r="N39" s="23"/>
      <c r="O39" s="22"/>
      <c r="P39" s="25" t="str">
        <f aca="false">IF(X39="","",INDEX(参数!$B$4:$B$6,X39))</f>
        <v/>
      </c>
      <c r="Q39" s="25" t="str">
        <f aca="false">IF(Z39="","",INDEX(参数!$B$4:$B$6,Z39))</f>
        <v/>
      </c>
      <c r="R39" s="25" t="str">
        <f aca="false">IF(OR(X39="",Z39=""),"",INDEX(参数!$B$26:$D$28,X39,Z39))</f>
        <v/>
      </c>
      <c r="S39" s="25" t="str">
        <f aca="false">IF(OR(AA39="",I39=""),"",INDEX(参数!$B$18:$B$22,MAX(1,MIN(5,AA39+2-MATCH(I39,参数!$B$9:$B$11,0)))))</f>
        <v/>
      </c>
      <c r="T39" s="26" t="str">
        <f aca="false">IF(Z39="","",IF(AND(Z39=3,M39="C"),"请核实：激活程度为高，但没有确立的地缘政治关联（C级）",IF(AND(Z39&gt;=2,M39=""),"请填写证据等级","")))</f>
        <v/>
      </c>
      <c r="U39" s="24"/>
      <c r="V39" s="23"/>
      <c r="W39" s="27" t="str">
        <f aca="false">IF(COUNTA(E39:H39)&lt;4,"",AVERAGE(MATCH(E39,参数!$B$4:$B$6,0),MATCH(F39,参数!$B$4:$B$6,0),MATCH(G39,参数!$B$4:$B$6,0),MATCH(H39,参数!$B$4:$B$6,0)))</f>
        <v/>
      </c>
      <c r="X39" s="25" t="str">
        <f aca="false">IF(W39="","",IF(W39&gt;=参数!$B$14,3,IF(W39&gt;=参数!$B$15,2,1)))</f>
        <v/>
      </c>
      <c r="Y39" s="27" t="str">
        <f aca="false">IF(COUNTA(J39:L39)&lt;3,"",AVERAGE(MATCH(J39,参数!$B$4:$B$6,0),MATCH(K39,参数!$B$4:$B$6,0),MATCH(L39,参数!$B$4:$B$6,0)))</f>
        <v/>
      </c>
      <c r="Z39" s="25" t="str">
        <f aca="false">IF(Y39="","",IF(Y39&gt;=参数!$B$14,3,IF(Y39&gt;=参数!$B$15,2,1)))</f>
        <v/>
      </c>
      <c r="AA39" s="25" t="str">
        <f aca="false">IF(R39="","",MATCH(R39,参数!$B$18:$B$22,0))</f>
        <v/>
      </c>
    </row>
    <row r="40" customFormat="false" ht="30" hidden="false" customHeight="true" outlineLevel="0" collapsed="false">
      <c r="A40" s="22"/>
      <c r="B40" s="23"/>
      <c r="C40" s="23"/>
      <c r="D40" s="23"/>
      <c r="E40" s="24"/>
      <c r="F40" s="24"/>
      <c r="G40" s="24"/>
      <c r="H40" s="24"/>
      <c r="I40" s="24"/>
      <c r="J40" s="24"/>
      <c r="K40" s="24"/>
      <c r="L40" s="24"/>
      <c r="M40" s="22"/>
      <c r="N40" s="23"/>
      <c r="O40" s="22"/>
      <c r="P40" s="25" t="str">
        <f aca="false">IF(X40="","",INDEX(参数!$B$4:$B$6,X40))</f>
        <v/>
      </c>
      <c r="Q40" s="25" t="str">
        <f aca="false">IF(Z40="","",INDEX(参数!$B$4:$B$6,Z40))</f>
        <v/>
      </c>
      <c r="R40" s="25" t="str">
        <f aca="false">IF(OR(X40="",Z40=""),"",INDEX(参数!$B$26:$D$28,X40,Z40))</f>
        <v/>
      </c>
      <c r="S40" s="25" t="str">
        <f aca="false">IF(OR(AA40="",I40=""),"",INDEX(参数!$B$18:$B$22,MAX(1,MIN(5,AA40+2-MATCH(I40,参数!$B$9:$B$11,0)))))</f>
        <v/>
      </c>
      <c r="T40" s="26" t="str">
        <f aca="false">IF(Z40="","",IF(AND(Z40=3,M40="C"),"请核实：激活程度为高，但没有确立的地缘政治关联（C级）",IF(AND(Z40&gt;=2,M40=""),"请填写证据等级","")))</f>
        <v/>
      </c>
      <c r="U40" s="24"/>
      <c r="V40" s="23"/>
      <c r="W40" s="27" t="str">
        <f aca="false">IF(COUNTA(E40:H40)&lt;4,"",AVERAGE(MATCH(E40,参数!$B$4:$B$6,0),MATCH(F40,参数!$B$4:$B$6,0),MATCH(G40,参数!$B$4:$B$6,0),MATCH(H40,参数!$B$4:$B$6,0)))</f>
        <v/>
      </c>
      <c r="X40" s="25" t="str">
        <f aca="false">IF(W40="","",IF(W40&gt;=参数!$B$14,3,IF(W40&gt;=参数!$B$15,2,1)))</f>
        <v/>
      </c>
      <c r="Y40" s="27" t="str">
        <f aca="false">IF(COUNTA(J40:L40)&lt;3,"",AVERAGE(MATCH(J40,参数!$B$4:$B$6,0),MATCH(K40,参数!$B$4:$B$6,0),MATCH(L40,参数!$B$4:$B$6,0)))</f>
        <v/>
      </c>
      <c r="Z40" s="25" t="str">
        <f aca="false">IF(Y40="","",IF(Y40&gt;=参数!$B$14,3,IF(Y40&gt;=参数!$B$15,2,1)))</f>
        <v/>
      </c>
      <c r="AA40" s="25" t="str">
        <f aca="false">IF(R40="","",MATCH(R40,参数!$B$18:$B$22,0))</f>
        <v/>
      </c>
    </row>
    <row r="41" customFormat="false" ht="30" hidden="false" customHeight="true" outlineLevel="0" collapsed="false">
      <c r="A41" s="22"/>
      <c r="B41" s="23"/>
      <c r="C41" s="23"/>
      <c r="D41" s="23"/>
      <c r="E41" s="24"/>
      <c r="F41" s="24"/>
      <c r="G41" s="24"/>
      <c r="H41" s="24"/>
      <c r="I41" s="24"/>
      <c r="J41" s="24"/>
      <c r="K41" s="24"/>
      <c r="L41" s="24"/>
      <c r="M41" s="22"/>
      <c r="N41" s="23"/>
      <c r="O41" s="22"/>
      <c r="P41" s="25" t="str">
        <f aca="false">IF(X41="","",INDEX(参数!$B$4:$B$6,X41))</f>
        <v/>
      </c>
      <c r="Q41" s="25" t="str">
        <f aca="false">IF(Z41="","",INDEX(参数!$B$4:$B$6,Z41))</f>
        <v/>
      </c>
      <c r="R41" s="25" t="str">
        <f aca="false">IF(OR(X41="",Z41=""),"",INDEX(参数!$B$26:$D$28,X41,Z41))</f>
        <v/>
      </c>
      <c r="S41" s="25" t="str">
        <f aca="false">IF(OR(AA41="",I41=""),"",INDEX(参数!$B$18:$B$22,MAX(1,MIN(5,AA41+2-MATCH(I41,参数!$B$9:$B$11,0)))))</f>
        <v/>
      </c>
      <c r="T41" s="26" t="str">
        <f aca="false">IF(Z41="","",IF(AND(Z41=3,M41="C"),"请核实：激活程度为高，但没有确立的地缘政治关联（C级）",IF(AND(Z41&gt;=2,M41=""),"请填写证据等级","")))</f>
        <v/>
      </c>
      <c r="U41" s="24"/>
      <c r="V41" s="23"/>
      <c r="W41" s="27" t="str">
        <f aca="false">IF(COUNTA(E41:H41)&lt;4,"",AVERAGE(MATCH(E41,参数!$B$4:$B$6,0),MATCH(F41,参数!$B$4:$B$6,0),MATCH(G41,参数!$B$4:$B$6,0),MATCH(H41,参数!$B$4:$B$6,0)))</f>
        <v/>
      </c>
      <c r="X41" s="25" t="str">
        <f aca="false">IF(W41="","",IF(W41&gt;=参数!$B$14,3,IF(W41&gt;=参数!$B$15,2,1)))</f>
        <v/>
      </c>
      <c r="Y41" s="27" t="str">
        <f aca="false">IF(COUNTA(J41:L41)&lt;3,"",AVERAGE(MATCH(J41,参数!$B$4:$B$6,0),MATCH(K41,参数!$B$4:$B$6,0),MATCH(L41,参数!$B$4:$B$6,0)))</f>
        <v/>
      </c>
      <c r="Z41" s="25" t="str">
        <f aca="false">IF(Y41="","",IF(Y41&gt;=参数!$B$14,3,IF(Y41&gt;=参数!$B$15,2,1)))</f>
        <v/>
      </c>
      <c r="AA41" s="25" t="str">
        <f aca="false">IF(R41="","",MATCH(R41,参数!$B$18:$B$22,0))</f>
        <v/>
      </c>
    </row>
    <row r="42" customFormat="false" ht="30" hidden="false" customHeight="true" outlineLevel="0" collapsed="false">
      <c r="A42" s="22"/>
      <c r="B42" s="23"/>
      <c r="C42" s="23"/>
      <c r="D42" s="23"/>
      <c r="E42" s="24"/>
      <c r="F42" s="24"/>
      <c r="G42" s="24"/>
      <c r="H42" s="24"/>
      <c r="I42" s="24"/>
      <c r="J42" s="24"/>
      <c r="K42" s="24"/>
      <c r="L42" s="24"/>
      <c r="M42" s="22"/>
      <c r="N42" s="23"/>
      <c r="O42" s="22"/>
      <c r="P42" s="25" t="str">
        <f aca="false">IF(X42="","",INDEX(参数!$B$4:$B$6,X42))</f>
        <v/>
      </c>
      <c r="Q42" s="25" t="str">
        <f aca="false">IF(Z42="","",INDEX(参数!$B$4:$B$6,Z42))</f>
        <v/>
      </c>
      <c r="R42" s="25" t="str">
        <f aca="false">IF(OR(X42="",Z42=""),"",INDEX(参数!$B$26:$D$28,X42,Z42))</f>
        <v/>
      </c>
      <c r="S42" s="25" t="str">
        <f aca="false">IF(OR(AA42="",I42=""),"",INDEX(参数!$B$18:$B$22,MAX(1,MIN(5,AA42+2-MATCH(I42,参数!$B$9:$B$11,0)))))</f>
        <v/>
      </c>
      <c r="T42" s="26" t="str">
        <f aca="false">IF(Z42="","",IF(AND(Z42=3,M42="C"),"请核实：激活程度为高，但没有确立的地缘政治关联（C级）",IF(AND(Z42&gt;=2,M42=""),"请填写证据等级","")))</f>
        <v/>
      </c>
      <c r="U42" s="24"/>
      <c r="V42" s="23"/>
      <c r="W42" s="27" t="str">
        <f aca="false">IF(COUNTA(E42:H42)&lt;4,"",AVERAGE(MATCH(E42,参数!$B$4:$B$6,0),MATCH(F42,参数!$B$4:$B$6,0),MATCH(G42,参数!$B$4:$B$6,0),MATCH(H42,参数!$B$4:$B$6,0)))</f>
        <v/>
      </c>
      <c r="X42" s="25" t="str">
        <f aca="false">IF(W42="","",IF(W42&gt;=参数!$B$14,3,IF(W42&gt;=参数!$B$15,2,1)))</f>
        <v/>
      </c>
      <c r="Y42" s="27" t="str">
        <f aca="false">IF(COUNTA(J42:L42)&lt;3,"",AVERAGE(MATCH(J42,参数!$B$4:$B$6,0),MATCH(K42,参数!$B$4:$B$6,0),MATCH(L42,参数!$B$4:$B$6,0)))</f>
        <v/>
      </c>
      <c r="Z42" s="25" t="str">
        <f aca="false">IF(Y42="","",IF(Y42&gt;=参数!$B$14,3,IF(Y42&gt;=参数!$B$15,2,1)))</f>
        <v/>
      </c>
      <c r="AA42" s="25" t="str">
        <f aca="false">IF(R42="","",MATCH(R42,参数!$B$18:$B$22,0))</f>
        <v/>
      </c>
    </row>
    <row r="43" customFormat="false" ht="30" hidden="false" customHeight="true" outlineLevel="0" collapsed="false">
      <c r="A43" s="22"/>
      <c r="B43" s="23"/>
      <c r="C43" s="23"/>
      <c r="D43" s="23"/>
      <c r="E43" s="24"/>
      <c r="F43" s="24"/>
      <c r="G43" s="24"/>
      <c r="H43" s="24"/>
      <c r="I43" s="24"/>
      <c r="J43" s="24"/>
      <c r="K43" s="24"/>
      <c r="L43" s="24"/>
      <c r="M43" s="22"/>
      <c r="N43" s="23"/>
      <c r="O43" s="22"/>
      <c r="P43" s="25" t="str">
        <f aca="false">IF(X43="","",INDEX(参数!$B$4:$B$6,X43))</f>
        <v/>
      </c>
      <c r="Q43" s="25" t="str">
        <f aca="false">IF(Z43="","",INDEX(参数!$B$4:$B$6,Z43))</f>
        <v/>
      </c>
      <c r="R43" s="25" t="str">
        <f aca="false">IF(OR(X43="",Z43=""),"",INDEX(参数!$B$26:$D$28,X43,Z43))</f>
        <v/>
      </c>
      <c r="S43" s="25" t="str">
        <f aca="false">IF(OR(AA43="",I43=""),"",INDEX(参数!$B$18:$B$22,MAX(1,MIN(5,AA43+2-MATCH(I43,参数!$B$9:$B$11,0)))))</f>
        <v/>
      </c>
      <c r="T43" s="26" t="str">
        <f aca="false">IF(Z43="","",IF(AND(Z43=3,M43="C"),"请核实：激活程度为高，但没有确立的地缘政治关联（C级）",IF(AND(Z43&gt;=2,M43=""),"请填写证据等级","")))</f>
        <v/>
      </c>
      <c r="U43" s="24"/>
      <c r="V43" s="23"/>
      <c r="W43" s="27" t="str">
        <f aca="false">IF(COUNTA(E43:H43)&lt;4,"",AVERAGE(MATCH(E43,参数!$B$4:$B$6,0),MATCH(F43,参数!$B$4:$B$6,0),MATCH(G43,参数!$B$4:$B$6,0),MATCH(H43,参数!$B$4:$B$6,0)))</f>
        <v/>
      </c>
      <c r="X43" s="25" t="str">
        <f aca="false">IF(W43="","",IF(W43&gt;=参数!$B$14,3,IF(W43&gt;=参数!$B$15,2,1)))</f>
        <v/>
      </c>
      <c r="Y43" s="27" t="str">
        <f aca="false">IF(COUNTA(J43:L43)&lt;3,"",AVERAGE(MATCH(J43,参数!$B$4:$B$6,0),MATCH(K43,参数!$B$4:$B$6,0),MATCH(L43,参数!$B$4:$B$6,0)))</f>
        <v/>
      </c>
      <c r="Z43" s="25" t="str">
        <f aca="false">IF(Y43="","",IF(Y43&gt;=参数!$B$14,3,IF(Y43&gt;=参数!$B$15,2,1)))</f>
        <v/>
      </c>
      <c r="AA43" s="25" t="str">
        <f aca="false">IF(R43="","",MATCH(R43,参数!$B$18:$B$22,0))</f>
        <v/>
      </c>
    </row>
    <row r="44" customFormat="false" ht="30" hidden="false" customHeight="true" outlineLevel="0" collapsed="false">
      <c r="A44" s="22"/>
      <c r="B44" s="23"/>
      <c r="C44" s="23"/>
      <c r="D44" s="23"/>
      <c r="E44" s="24"/>
      <c r="F44" s="24"/>
      <c r="G44" s="24"/>
      <c r="H44" s="24"/>
      <c r="I44" s="24"/>
      <c r="J44" s="24"/>
      <c r="K44" s="24"/>
      <c r="L44" s="24"/>
      <c r="M44" s="22"/>
      <c r="N44" s="23"/>
      <c r="O44" s="22"/>
      <c r="P44" s="25" t="str">
        <f aca="false">IF(X44="","",INDEX(参数!$B$4:$B$6,X44))</f>
        <v/>
      </c>
      <c r="Q44" s="25" t="str">
        <f aca="false">IF(Z44="","",INDEX(参数!$B$4:$B$6,Z44))</f>
        <v/>
      </c>
      <c r="R44" s="25" t="str">
        <f aca="false">IF(OR(X44="",Z44=""),"",INDEX(参数!$B$26:$D$28,X44,Z44))</f>
        <v/>
      </c>
      <c r="S44" s="25" t="str">
        <f aca="false">IF(OR(AA44="",I44=""),"",INDEX(参数!$B$18:$B$22,MAX(1,MIN(5,AA44+2-MATCH(I44,参数!$B$9:$B$11,0)))))</f>
        <v/>
      </c>
      <c r="T44" s="26" t="str">
        <f aca="false">IF(Z44="","",IF(AND(Z44=3,M44="C"),"请核实：激活程度为高，但没有确立的地缘政治关联（C级）",IF(AND(Z44&gt;=2,M44=""),"请填写证据等级","")))</f>
        <v/>
      </c>
      <c r="U44" s="24"/>
      <c r="V44" s="23"/>
      <c r="W44" s="27" t="str">
        <f aca="false">IF(COUNTA(E44:H44)&lt;4,"",AVERAGE(MATCH(E44,参数!$B$4:$B$6,0),MATCH(F44,参数!$B$4:$B$6,0),MATCH(G44,参数!$B$4:$B$6,0),MATCH(H44,参数!$B$4:$B$6,0)))</f>
        <v/>
      </c>
      <c r="X44" s="25" t="str">
        <f aca="false">IF(W44="","",IF(W44&gt;=参数!$B$14,3,IF(W44&gt;=参数!$B$15,2,1)))</f>
        <v/>
      </c>
      <c r="Y44" s="27" t="str">
        <f aca="false">IF(COUNTA(J44:L44)&lt;3,"",AVERAGE(MATCH(J44,参数!$B$4:$B$6,0),MATCH(K44,参数!$B$4:$B$6,0),MATCH(L44,参数!$B$4:$B$6,0)))</f>
        <v/>
      </c>
      <c r="Z44" s="25" t="str">
        <f aca="false">IF(Y44="","",IF(Y44&gt;=参数!$B$14,3,IF(Y44&gt;=参数!$B$15,2,1)))</f>
        <v/>
      </c>
      <c r="AA44" s="25" t="str">
        <f aca="false">IF(R44="","",MATCH(R44,参数!$B$18:$B$22,0))</f>
        <v/>
      </c>
    </row>
    <row r="45" customFormat="false" ht="30" hidden="false" customHeight="true" outlineLevel="0" collapsed="false">
      <c r="A45" s="22"/>
      <c r="B45" s="23"/>
      <c r="C45" s="23"/>
      <c r="D45" s="23"/>
      <c r="E45" s="24"/>
      <c r="F45" s="24"/>
      <c r="G45" s="24"/>
      <c r="H45" s="24"/>
      <c r="I45" s="24"/>
      <c r="J45" s="24"/>
      <c r="K45" s="24"/>
      <c r="L45" s="24"/>
      <c r="M45" s="22"/>
      <c r="N45" s="23"/>
      <c r="O45" s="22"/>
      <c r="P45" s="25" t="str">
        <f aca="false">IF(X45="","",INDEX(参数!$B$4:$B$6,X45))</f>
        <v/>
      </c>
      <c r="Q45" s="25" t="str">
        <f aca="false">IF(Z45="","",INDEX(参数!$B$4:$B$6,Z45))</f>
        <v/>
      </c>
      <c r="R45" s="25" t="str">
        <f aca="false">IF(OR(X45="",Z45=""),"",INDEX(参数!$B$26:$D$28,X45,Z45))</f>
        <v/>
      </c>
      <c r="S45" s="25" t="str">
        <f aca="false">IF(OR(AA45="",I45=""),"",INDEX(参数!$B$18:$B$22,MAX(1,MIN(5,AA45+2-MATCH(I45,参数!$B$9:$B$11,0)))))</f>
        <v/>
      </c>
      <c r="T45" s="26" t="str">
        <f aca="false">IF(Z45="","",IF(AND(Z45=3,M45="C"),"请核实：激活程度为高，但没有确立的地缘政治关联（C级）",IF(AND(Z45&gt;=2,M45=""),"请填写证据等级","")))</f>
        <v/>
      </c>
      <c r="U45" s="24"/>
      <c r="V45" s="23"/>
      <c r="W45" s="27" t="str">
        <f aca="false">IF(COUNTA(E45:H45)&lt;4,"",AVERAGE(MATCH(E45,参数!$B$4:$B$6,0),MATCH(F45,参数!$B$4:$B$6,0),MATCH(G45,参数!$B$4:$B$6,0),MATCH(H45,参数!$B$4:$B$6,0)))</f>
        <v/>
      </c>
      <c r="X45" s="25" t="str">
        <f aca="false">IF(W45="","",IF(W45&gt;=参数!$B$14,3,IF(W45&gt;=参数!$B$15,2,1)))</f>
        <v/>
      </c>
      <c r="Y45" s="27" t="str">
        <f aca="false">IF(COUNTA(J45:L45)&lt;3,"",AVERAGE(MATCH(J45,参数!$B$4:$B$6,0),MATCH(K45,参数!$B$4:$B$6,0),MATCH(L45,参数!$B$4:$B$6,0)))</f>
        <v/>
      </c>
      <c r="Z45" s="25" t="str">
        <f aca="false">IF(Y45="","",IF(Y45&gt;=参数!$B$14,3,IF(Y45&gt;=参数!$B$15,2,1)))</f>
        <v/>
      </c>
      <c r="AA45" s="25" t="str">
        <f aca="false">IF(R45="","",MATCH(R45,参数!$B$18:$B$22,0))</f>
        <v/>
      </c>
    </row>
  </sheetData>
  <mergeCells count="6">
    <mergeCell ref="A4:D4"/>
    <mergeCell ref="E4:I4"/>
    <mergeCell ref="J4:O4"/>
    <mergeCell ref="P4:T4"/>
    <mergeCell ref="U4:V4"/>
    <mergeCell ref="W4:AA4"/>
  </mergeCells>
  <conditionalFormatting sqref="R6:R45">
    <cfRule type="expression" priority="2" aboveAverage="0" equalAverage="0" bottom="0" percent="0" rank="0" text="" dxfId="0">
      <formula>$R6="接受"</formula>
    </cfRule>
    <cfRule type="expression" priority="3" aboveAverage="0" equalAverage="0" bottom="0" percent="0" rank="0" text="" dxfId="1">
      <formula>$R6="接受并跟踪"</formula>
    </cfRule>
    <cfRule type="expression" priority="4" aboveAverage="0" equalAverage="0" bottom="0" percent="0" rank="0" text="" dxfId="2">
      <formula>$R6="监控"</formula>
    </cfRule>
    <cfRule type="expression" priority="5" aboveAverage="0" equalAverage="0" bottom="0" percent="0" rank="0" text="" dxfId="3">
      <formula>$R6="处理"</formula>
    </cfRule>
    <cfRule type="expression" priority="6" aboveAverage="0" equalAverage="0" bottom="0" percent="0" rank="0" text="" dxfId="4">
      <formula>$R6="优先处理"</formula>
    </cfRule>
  </conditionalFormatting>
  <conditionalFormatting sqref="S6:S45">
    <cfRule type="expression" priority="7" aboveAverage="0" equalAverage="0" bottom="0" percent="0" rank="0" text="" dxfId="0">
      <formula>$S6="接受"</formula>
    </cfRule>
    <cfRule type="expression" priority="8" aboveAverage="0" equalAverage="0" bottom="0" percent="0" rank="0" text="" dxfId="1">
      <formula>$S6="接受并跟踪"</formula>
    </cfRule>
    <cfRule type="expression" priority="9" aboveAverage="0" equalAverage="0" bottom="0" percent="0" rank="0" text="" dxfId="2">
      <formula>$S6="监控"</formula>
    </cfRule>
    <cfRule type="expression" priority="10" aboveAverage="0" equalAverage="0" bottom="0" percent="0" rank="0" text="" dxfId="3">
      <formula>$S6="处理"</formula>
    </cfRule>
    <cfRule type="expression" priority="11" aboveAverage="0" equalAverage="0" bottom="0" percent="0" rank="0" text="" dxfId="4">
      <formula>$S6="优先处理"</formula>
    </cfRule>
  </conditionalFormatting>
  <conditionalFormatting sqref="T6:T45">
    <cfRule type="expression" priority="12" aboveAverage="0" equalAverage="0" bottom="0" percent="0" rank="0" text="" dxfId="5">
      <formula>LEN($T6)&gt;0</formula>
    </cfRule>
  </conditionalFormatting>
  <dataValidations count="5">
    <dataValidation allowBlank="true" errorStyle="stop" operator="between" showDropDown="false" showErrorMessage="true" showInputMessage="false" sqref="C6:C45" type="list">
      <formula1>参数!$B$38:$B$42</formula1>
      <formula2>0</formula2>
    </dataValidation>
    <dataValidation allowBlank="true" errorStyle="stop" operator="between" showDropDown="false" showErrorMessage="true" showInputMessage="false" sqref="E6:H45 J6:L45" type="list">
      <formula1>参数!$B$4:$B$6</formula1>
      <formula2>0</formula2>
    </dataValidation>
    <dataValidation allowBlank="true" errorStyle="stop" operator="between" showDropDown="false" showErrorMessage="true" showInputMessage="false" sqref="I6:I45" type="list">
      <formula1>参数!$B$9:$B$11</formula1>
      <formula2>0</formula2>
    </dataValidation>
    <dataValidation allowBlank="true" errorStyle="stop" operator="between" showDropDown="false" showErrorMessage="true" showInputMessage="false" sqref="M6:M45" type="list">
      <formula1>参数!$A$31:$A$34</formula1>
      <formula2>0</formula2>
    </dataValidation>
    <dataValidation allowBlank="true" errorStyle="stop" operator="between" showDropDown="false" showErrorMessage="true" showInputMessage="false" sqref="U6:U45" type="list">
      <formula1>参数!$B$45:$B$48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7"/>
  </cols>
  <sheetData>
    <row r="1" customFormat="false" ht="17.35" hidden="false" customHeight="false" outlineLevel="0" collapsed="false">
      <c r="A1" s="1" t="s">
        <v>133</v>
      </c>
    </row>
    <row r="3" customFormat="false" ht="15" hidden="false" customHeight="false" outlineLevel="0" collapsed="false">
      <c r="A3" s="28" t="s">
        <v>134</v>
      </c>
    </row>
    <row r="4" customFormat="false" ht="15" hidden="false" customHeight="false" outlineLevel="0" collapsed="false">
      <c r="A4" s="6" t="s">
        <v>135</v>
      </c>
      <c r="B4" s="6" t="s">
        <v>136</v>
      </c>
    </row>
    <row r="5" customFormat="false" ht="15" hidden="false" customHeight="false" outlineLevel="0" collapsed="false">
      <c r="A5" s="8" t="s">
        <v>137</v>
      </c>
      <c r="B5" s="29" t="n">
        <f aca="false">COUNTIF(评估表!$S$6:$S$45,A5)</f>
        <v>0</v>
      </c>
    </row>
    <row r="6" customFormat="false" ht="15" hidden="false" customHeight="false" outlineLevel="0" collapsed="false">
      <c r="A6" s="8" t="s">
        <v>138</v>
      </c>
      <c r="B6" s="29" t="n">
        <f aca="false">COUNTIF(评估表!$S$6:$S$45,A6)</f>
        <v>1</v>
      </c>
    </row>
    <row r="7" customFormat="false" ht="15" hidden="false" customHeight="false" outlineLevel="0" collapsed="false">
      <c r="A7" s="8" t="s">
        <v>139</v>
      </c>
      <c r="B7" s="29" t="n">
        <f aca="false">COUNTIF(评估表!$S$6:$S$45,A7)</f>
        <v>0</v>
      </c>
    </row>
    <row r="8" customFormat="false" ht="15" hidden="false" customHeight="false" outlineLevel="0" collapsed="false">
      <c r="A8" s="8" t="s">
        <v>140</v>
      </c>
      <c r="B8" s="29" t="n">
        <f aca="false">COUNTIF(评估表!$S$6:$S$45,A8)</f>
        <v>0</v>
      </c>
    </row>
    <row r="9" customFormat="false" ht="15" hidden="false" customHeight="false" outlineLevel="0" collapsed="false">
      <c r="A9" s="8" t="s">
        <v>141</v>
      </c>
      <c r="B9" s="29" t="n">
        <f aca="false">COUNTIF(评估表!$S$6:$S$45,A9)</f>
        <v>0</v>
      </c>
    </row>
    <row r="10" customFormat="false" ht="15" hidden="false" customHeight="false" outlineLevel="0" collapsed="false">
      <c r="A10" s="8" t="s">
        <v>142</v>
      </c>
      <c r="B10" s="30" t="n">
        <f aca="false">SUM(B5:B9)</f>
        <v>1</v>
      </c>
    </row>
    <row r="12" customFormat="false" ht="15" hidden="false" customHeight="false" outlineLevel="0" collapsed="false">
      <c r="A12" s="28" t="s">
        <v>143</v>
      </c>
    </row>
    <row r="13" customFormat="false" ht="31.5" hidden="false" customHeight="true" outlineLevel="0" collapsed="false">
      <c r="A13" s="6" t="s">
        <v>63</v>
      </c>
      <c r="B13" s="6" t="s">
        <v>137</v>
      </c>
      <c r="C13" s="6" t="s">
        <v>138</v>
      </c>
      <c r="D13" s="6" t="s">
        <v>139</v>
      </c>
      <c r="E13" s="6" t="s">
        <v>140</v>
      </c>
      <c r="F13" s="6" t="s">
        <v>141</v>
      </c>
      <c r="G13" s="6" t="s">
        <v>142</v>
      </c>
    </row>
    <row r="14" customFormat="false" ht="15" hidden="false" customHeight="false" outlineLevel="0" collapsed="false">
      <c r="A14" s="8" t="s">
        <v>67</v>
      </c>
      <c r="B14" s="29" t="n">
        <f aca="false">COUNTIFS(评估表!$C$6:$C$45,$A14,评估表!$S$6:$S$45,B$13)</f>
        <v>0</v>
      </c>
      <c r="C14" s="29" t="n">
        <f aca="false">COUNTIFS(评估表!$C$6:$C$45,$A14,评估表!$S$6:$S$45,C$13)</f>
        <v>0</v>
      </c>
      <c r="D14" s="29" t="n">
        <f aca="false">COUNTIFS(评估表!$C$6:$C$45,$A14,评估表!$S$6:$S$45,D$13)</f>
        <v>0</v>
      </c>
      <c r="E14" s="29" t="n">
        <f aca="false">COUNTIFS(评估表!$C$6:$C$45,$A14,评估表!$S$6:$S$45,E$13)</f>
        <v>0</v>
      </c>
      <c r="F14" s="29" t="n">
        <f aca="false">COUNTIFS(评估表!$C$6:$C$45,$A14,评估表!$S$6:$S$45,F$13)</f>
        <v>0</v>
      </c>
      <c r="G14" s="30" t="n">
        <f aca="false">SUM(B14:F14)</f>
        <v>0</v>
      </c>
    </row>
    <row r="15" customFormat="false" ht="15" hidden="false" customHeight="false" outlineLevel="0" collapsed="false">
      <c r="A15" s="8" t="s">
        <v>71</v>
      </c>
      <c r="B15" s="29" t="n">
        <f aca="false">COUNTIFS(评估表!$C$6:$C$45,$A15,评估表!$S$6:$S$45,B$13)</f>
        <v>0</v>
      </c>
      <c r="C15" s="29" t="n">
        <f aca="false">COUNTIFS(评估表!$C$6:$C$45,$A15,评估表!$S$6:$S$45,C$13)</f>
        <v>1</v>
      </c>
      <c r="D15" s="29" t="n">
        <f aca="false">COUNTIFS(评估表!$C$6:$C$45,$A15,评估表!$S$6:$S$45,D$13)</f>
        <v>0</v>
      </c>
      <c r="E15" s="29" t="n">
        <f aca="false">COUNTIFS(评估表!$C$6:$C$45,$A15,评估表!$S$6:$S$45,E$13)</f>
        <v>0</v>
      </c>
      <c r="F15" s="29" t="n">
        <f aca="false">COUNTIFS(评估表!$C$6:$C$45,$A15,评估表!$S$6:$S$45,F$13)</f>
        <v>0</v>
      </c>
      <c r="G15" s="30" t="n">
        <f aca="false">SUM(B15:F15)</f>
        <v>1</v>
      </c>
    </row>
    <row r="16" customFormat="false" ht="15" hidden="false" customHeight="false" outlineLevel="0" collapsed="false">
      <c r="A16" s="8" t="s">
        <v>75</v>
      </c>
      <c r="B16" s="29" t="n">
        <f aca="false">COUNTIFS(评估表!$C$6:$C$45,$A16,评估表!$S$6:$S$45,B$13)</f>
        <v>0</v>
      </c>
      <c r="C16" s="29" t="n">
        <f aca="false">COUNTIFS(评估表!$C$6:$C$45,$A16,评估表!$S$6:$S$45,C$13)</f>
        <v>0</v>
      </c>
      <c r="D16" s="29" t="n">
        <f aca="false">COUNTIFS(评估表!$C$6:$C$45,$A16,评估表!$S$6:$S$45,D$13)</f>
        <v>0</v>
      </c>
      <c r="E16" s="29" t="n">
        <f aca="false">COUNTIFS(评估表!$C$6:$C$45,$A16,评估表!$S$6:$S$45,E$13)</f>
        <v>0</v>
      </c>
      <c r="F16" s="29" t="n">
        <f aca="false">COUNTIFS(评估表!$C$6:$C$45,$A16,评估表!$S$6:$S$45,F$13)</f>
        <v>0</v>
      </c>
      <c r="G16" s="30" t="n">
        <f aca="false">SUM(B16:F16)</f>
        <v>0</v>
      </c>
    </row>
    <row r="17" customFormat="false" ht="15" hidden="false" customHeight="false" outlineLevel="0" collapsed="false">
      <c r="A17" s="8" t="s">
        <v>79</v>
      </c>
      <c r="B17" s="29" t="n">
        <f aca="false">COUNTIFS(评估表!$C$6:$C$45,$A17,评估表!$S$6:$S$45,B$13)</f>
        <v>0</v>
      </c>
      <c r="C17" s="29" t="n">
        <f aca="false">COUNTIFS(评估表!$C$6:$C$45,$A17,评估表!$S$6:$S$45,C$13)</f>
        <v>0</v>
      </c>
      <c r="D17" s="29" t="n">
        <f aca="false">COUNTIFS(评估表!$C$6:$C$45,$A17,评估表!$S$6:$S$45,D$13)</f>
        <v>0</v>
      </c>
      <c r="E17" s="29" t="n">
        <f aca="false">COUNTIFS(评估表!$C$6:$C$45,$A17,评估表!$S$6:$S$45,E$13)</f>
        <v>0</v>
      </c>
      <c r="F17" s="29" t="n">
        <f aca="false">COUNTIFS(评估表!$C$6:$C$45,$A17,评估表!$S$6:$S$45,F$13)</f>
        <v>0</v>
      </c>
      <c r="G17" s="30" t="n">
        <f aca="false">SUM(B17:F17)</f>
        <v>0</v>
      </c>
    </row>
    <row r="18" customFormat="false" ht="15" hidden="false" customHeight="false" outlineLevel="0" collapsed="false">
      <c r="A18" s="8" t="s">
        <v>83</v>
      </c>
      <c r="B18" s="29" t="n">
        <f aca="false">COUNTIFS(评估表!$C$6:$C$45,$A18,评估表!$S$6:$S$45,B$13)</f>
        <v>0</v>
      </c>
      <c r="C18" s="29" t="n">
        <f aca="false">COUNTIFS(评估表!$C$6:$C$45,$A18,评估表!$S$6:$S$45,C$13)</f>
        <v>0</v>
      </c>
      <c r="D18" s="29" t="n">
        <f aca="false">COUNTIFS(评估表!$C$6:$C$45,$A18,评估表!$S$6:$S$45,D$13)</f>
        <v>0</v>
      </c>
      <c r="E18" s="29" t="n">
        <f aca="false">COUNTIFS(评估表!$C$6:$C$45,$A18,评估表!$S$6:$S$45,E$13)</f>
        <v>0</v>
      </c>
      <c r="F18" s="29" t="n">
        <f aca="false">COUNTIFS(评估表!$C$6:$C$45,$A18,评估表!$S$6:$S$45,F$13)</f>
        <v>0</v>
      </c>
      <c r="G18" s="30" t="n">
        <f aca="false">SUM(B18:F18)</f>
        <v>0</v>
      </c>
    </row>
    <row r="20" customFormat="false" ht="17.15" hidden="false" customHeight="false" outlineLevel="0" collapsed="false">
      <c r="A20" s="28" t="s">
        <v>144</v>
      </c>
    </row>
    <row r="21" customFormat="false" ht="15" hidden="false" customHeight="false" outlineLevel="0" collapsed="false">
      <c r="A21" s="6" t="s">
        <v>145</v>
      </c>
      <c r="B21" s="6" t="s">
        <v>127</v>
      </c>
      <c r="C21" s="6" t="s">
        <v>126</v>
      </c>
      <c r="D21" s="6" t="s">
        <v>125</v>
      </c>
    </row>
    <row r="22" customFormat="false" ht="15" hidden="false" customHeight="false" outlineLevel="0" collapsed="false">
      <c r="A22" s="8" t="s">
        <v>125</v>
      </c>
      <c r="B22" s="29" t="n">
        <f aca="false">COUNTIFS(评估表!$X$6:$X$45,3,评估表!$Z$6:$Z$45,1)</f>
        <v>1</v>
      </c>
      <c r="C22" s="29" t="n">
        <f aca="false">COUNTIFS(评估表!$X$6:$X$45,3,评估表!$Z$6:$Z$45,2)</f>
        <v>0</v>
      </c>
      <c r="D22" s="29" t="n">
        <f aca="false">COUNTIFS(评估表!$X$6:$X$45,3,评估表!$Z$6:$Z$45,3)</f>
        <v>0</v>
      </c>
    </row>
    <row r="23" customFormat="false" ht="15" hidden="false" customHeight="false" outlineLevel="0" collapsed="false">
      <c r="A23" s="8" t="s">
        <v>126</v>
      </c>
      <c r="B23" s="29" t="n">
        <f aca="false">COUNTIFS(评估表!$X$6:$X$45,2,评估表!$Z$6:$Z$45,1)</f>
        <v>0</v>
      </c>
      <c r="C23" s="29" t="n">
        <f aca="false">COUNTIFS(评估表!$X$6:$X$45,2,评估表!$Z$6:$Z$45,2)</f>
        <v>0</v>
      </c>
      <c r="D23" s="29" t="n">
        <f aca="false">COUNTIFS(评估表!$X$6:$X$45,2,评估表!$Z$6:$Z$45,3)</f>
        <v>0</v>
      </c>
    </row>
    <row r="24" customFormat="false" ht="15" hidden="false" customHeight="false" outlineLevel="0" collapsed="false">
      <c r="A24" s="8" t="s">
        <v>127</v>
      </c>
      <c r="B24" s="29" t="n">
        <f aca="false">COUNTIFS(评估表!$X$6:$X$45,1,评估表!$Z$6:$Z$45,1)</f>
        <v>0</v>
      </c>
      <c r="C24" s="29" t="n">
        <f aca="false">COUNTIFS(评估表!$X$6:$X$45,1,评估表!$Z$6:$Z$45,2)</f>
        <v>0</v>
      </c>
      <c r="D24" s="29" t="n">
        <f aca="false">COUNTIFS(评估表!$X$6:$X$45,1,评估表!$Z$6:$Z$45,3)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40"/>
  </cols>
  <sheetData>
    <row r="1" customFormat="false" ht="17.35" hidden="false" customHeight="false" outlineLevel="0" collapsed="false">
      <c r="A1" s="1" t="s">
        <v>146</v>
      </c>
    </row>
    <row r="3" customFormat="false" ht="15" hidden="false" customHeight="false" outlineLevel="0" collapsed="false">
      <c r="A3" s="31" t="s">
        <v>147</v>
      </c>
    </row>
    <row r="4" customFormat="false" ht="15" hidden="false" customHeight="false" outlineLevel="0" collapsed="false">
      <c r="A4" s="32" t="n">
        <v>1</v>
      </c>
      <c r="B4" s="33" t="s">
        <v>127</v>
      </c>
    </row>
    <row r="5" customFormat="false" ht="15" hidden="false" customHeight="false" outlineLevel="0" collapsed="false">
      <c r="A5" s="32" t="n">
        <v>2</v>
      </c>
      <c r="B5" s="33" t="s">
        <v>126</v>
      </c>
    </row>
    <row r="6" customFormat="false" ht="15" hidden="false" customHeight="false" outlineLevel="0" collapsed="false">
      <c r="A6" s="32" t="n">
        <v>3</v>
      </c>
      <c r="B6" s="33" t="s">
        <v>125</v>
      </c>
    </row>
    <row r="8" customFormat="false" ht="15" hidden="false" customHeight="false" outlineLevel="0" collapsed="false">
      <c r="A8" s="31" t="s">
        <v>148</v>
      </c>
    </row>
    <row r="9" customFormat="false" ht="15" hidden="false" customHeight="false" outlineLevel="0" collapsed="false">
      <c r="A9" s="32" t="n">
        <v>1</v>
      </c>
      <c r="B9" s="33" t="s">
        <v>127</v>
      </c>
    </row>
    <row r="10" customFormat="false" ht="15" hidden="false" customHeight="false" outlineLevel="0" collapsed="false">
      <c r="A10" s="32" t="n">
        <v>2</v>
      </c>
      <c r="B10" s="33" t="s">
        <v>149</v>
      </c>
    </row>
    <row r="11" customFormat="false" ht="15" hidden="false" customHeight="false" outlineLevel="0" collapsed="false">
      <c r="A11" s="32" t="n">
        <v>3</v>
      </c>
      <c r="B11" s="33" t="s">
        <v>150</v>
      </c>
    </row>
    <row r="13" customFormat="false" ht="15" hidden="false" customHeight="false" outlineLevel="0" collapsed="false">
      <c r="A13" s="31" t="s">
        <v>151</v>
      </c>
    </row>
    <row r="14" customFormat="false" ht="15" hidden="false" customHeight="false" outlineLevel="0" collapsed="false">
      <c r="A14" s="34" t="s">
        <v>152</v>
      </c>
      <c r="B14" s="35" t="n">
        <v>2.5</v>
      </c>
    </row>
    <row r="15" customFormat="false" ht="15" hidden="false" customHeight="false" outlineLevel="0" collapsed="false">
      <c r="A15" s="34" t="s">
        <v>153</v>
      </c>
      <c r="B15" s="35" t="n">
        <v>1.75</v>
      </c>
    </row>
    <row r="17" customFormat="false" ht="15" hidden="false" customHeight="false" outlineLevel="0" collapsed="false">
      <c r="A17" s="31" t="s">
        <v>154</v>
      </c>
    </row>
    <row r="18" customFormat="false" ht="15" hidden="false" customHeight="false" outlineLevel="0" collapsed="false">
      <c r="A18" s="34" t="n">
        <v>1</v>
      </c>
      <c r="B18" s="33" t="s">
        <v>141</v>
      </c>
    </row>
    <row r="19" customFormat="false" ht="15" hidden="false" customHeight="false" outlineLevel="0" collapsed="false">
      <c r="A19" s="34" t="n">
        <v>2</v>
      </c>
      <c r="B19" s="33" t="s">
        <v>140</v>
      </c>
    </row>
    <row r="20" customFormat="false" ht="15" hidden="false" customHeight="false" outlineLevel="0" collapsed="false">
      <c r="A20" s="34" t="n">
        <v>3</v>
      </c>
      <c r="B20" s="33" t="s">
        <v>139</v>
      </c>
    </row>
    <row r="21" customFormat="false" ht="15" hidden="false" customHeight="false" outlineLevel="0" collapsed="false">
      <c r="A21" s="34" t="n">
        <v>4</v>
      </c>
      <c r="B21" s="33" t="s">
        <v>138</v>
      </c>
    </row>
    <row r="22" customFormat="false" ht="15" hidden="false" customHeight="false" outlineLevel="0" collapsed="false">
      <c r="A22" s="34" t="n">
        <v>5</v>
      </c>
      <c r="B22" s="33" t="s">
        <v>137</v>
      </c>
    </row>
    <row r="24" customFormat="false" ht="15" hidden="false" customHeight="false" outlineLevel="0" collapsed="false">
      <c r="A24" s="31" t="s">
        <v>155</v>
      </c>
    </row>
    <row r="25" customFormat="false" ht="15" hidden="false" customHeight="false" outlineLevel="0" collapsed="false">
      <c r="B25" s="6" t="s">
        <v>127</v>
      </c>
      <c r="C25" s="6" t="s">
        <v>126</v>
      </c>
      <c r="D25" s="6" t="s">
        <v>125</v>
      </c>
    </row>
    <row r="26" customFormat="false" ht="15" hidden="false" customHeight="false" outlineLevel="0" collapsed="false">
      <c r="A26" s="31" t="s">
        <v>127</v>
      </c>
      <c r="B26" s="36" t="s">
        <v>141</v>
      </c>
      <c r="C26" s="36" t="s">
        <v>140</v>
      </c>
      <c r="D26" s="36" t="s">
        <v>139</v>
      </c>
    </row>
    <row r="27" customFormat="false" ht="15" hidden="false" customHeight="false" outlineLevel="0" collapsed="false">
      <c r="A27" s="31" t="s">
        <v>126</v>
      </c>
      <c r="B27" s="36" t="s">
        <v>140</v>
      </c>
      <c r="C27" s="36" t="s">
        <v>139</v>
      </c>
      <c r="D27" s="36" t="s">
        <v>138</v>
      </c>
    </row>
    <row r="28" customFormat="false" ht="15" hidden="false" customHeight="false" outlineLevel="0" collapsed="false">
      <c r="A28" s="31" t="s">
        <v>125</v>
      </c>
      <c r="B28" s="36" t="s">
        <v>139</v>
      </c>
      <c r="C28" s="36" t="s">
        <v>138</v>
      </c>
      <c r="D28" s="36" t="s">
        <v>137</v>
      </c>
    </row>
    <row r="30" customFormat="false" ht="15" hidden="false" customHeight="false" outlineLevel="0" collapsed="false">
      <c r="A30" s="31" t="s">
        <v>156</v>
      </c>
    </row>
    <row r="31" customFormat="false" ht="27.75" hidden="false" customHeight="true" outlineLevel="0" collapsed="false">
      <c r="A31" s="37" t="s">
        <v>157</v>
      </c>
      <c r="B31" s="38" t="s">
        <v>158</v>
      </c>
      <c r="C31" s="38"/>
      <c r="D31" s="38"/>
    </row>
    <row r="32" customFormat="false" ht="27.75" hidden="false" customHeight="true" outlineLevel="0" collapsed="false">
      <c r="A32" s="37" t="s">
        <v>159</v>
      </c>
      <c r="B32" s="38" t="s">
        <v>160</v>
      </c>
      <c r="C32" s="38"/>
      <c r="D32" s="38"/>
    </row>
    <row r="33" customFormat="false" ht="27.75" hidden="false" customHeight="true" outlineLevel="0" collapsed="false">
      <c r="A33" s="37" t="s">
        <v>128</v>
      </c>
      <c r="B33" s="38" t="s">
        <v>161</v>
      </c>
      <c r="C33" s="38"/>
      <c r="D33" s="38"/>
    </row>
    <row r="34" customFormat="false" ht="27.75" hidden="false" customHeight="true" outlineLevel="0" collapsed="false">
      <c r="A34" s="37" t="s">
        <v>162</v>
      </c>
      <c r="B34" s="38" t="s">
        <v>163</v>
      </c>
      <c r="C34" s="38"/>
      <c r="D34" s="38"/>
    </row>
    <row r="35" customFormat="false" ht="15" hidden="false" customHeight="false" outlineLevel="0" collapsed="false">
      <c r="A35" s="2" t="s">
        <v>164</v>
      </c>
    </row>
    <row r="37" customFormat="false" ht="15" hidden="false" customHeight="false" outlineLevel="0" collapsed="false">
      <c r="A37" s="31" t="s">
        <v>165</v>
      </c>
    </row>
    <row r="38" customFormat="false" ht="15" hidden="false" customHeight="false" outlineLevel="0" collapsed="false">
      <c r="B38" s="33" t="s">
        <v>67</v>
      </c>
    </row>
    <row r="39" customFormat="false" ht="15" hidden="false" customHeight="false" outlineLevel="0" collapsed="false">
      <c r="B39" s="33" t="s">
        <v>123</v>
      </c>
    </row>
    <row r="40" customFormat="false" ht="15" hidden="false" customHeight="false" outlineLevel="0" collapsed="false">
      <c r="B40" s="33" t="s">
        <v>75</v>
      </c>
    </row>
    <row r="41" customFormat="false" ht="15" hidden="false" customHeight="false" outlineLevel="0" collapsed="false">
      <c r="B41" s="33" t="s">
        <v>79</v>
      </c>
    </row>
    <row r="42" customFormat="false" ht="15" hidden="false" customHeight="false" outlineLevel="0" collapsed="false">
      <c r="B42" s="33" t="s">
        <v>83</v>
      </c>
    </row>
    <row r="44" customFormat="false" ht="15" hidden="false" customHeight="false" outlineLevel="0" collapsed="false">
      <c r="A44" s="31" t="s">
        <v>166</v>
      </c>
    </row>
    <row r="45" customFormat="false" ht="15" hidden="false" customHeight="false" outlineLevel="0" collapsed="false">
      <c r="B45" s="33" t="s">
        <v>167</v>
      </c>
    </row>
    <row r="46" customFormat="false" ht="15" hidden="false" customHeight="false" outlineLevel="0" collapsed="false">
      <c r="B46" s="33" t="s">
        <v>168</v>
      </c>
    </row>
    <row r="47" customFormat="false" ht="15" hidden="false" customHeight="false" outlineLevel="0" collapsed="false">
      <c r="B47" s="33" t="s">
        <v>139</v>
      </c>
    </row>
    <row r="48" customFormat="false" ht="15" hidden="false" customHeight="false" outlineLevel="0" collapsed="false">
      <c r="B48" s="33" t="s">
        <v>131</v>
      </c>
    </row>
    <row r="50" customFormat="false" ht="15" hidden="false" customHeight="false" outlineLevel="0" collapsed="false">
      <c r="A50" s="31" t="s">
        <v>169</v>
      </c>
    </row>
    <row r="51" customFormat="false" ht="15" hidden="false" customHeight="false" outlineLevel="0" collapsed="false">
      <c r="A51" s="6" t="s">
        <v>170</v>
      </c>
      <c r="B51" s="6" t="s">
        <v>127</v>
      </c>
      <c r="C51" s="6" t="s">
        <v>126</v>
      </c>
      <c r="D51" s="6" t="s">
        <v>125</v>
      </c>
    </row>
    <row r="52" customFormat="false" ht="42" hidden="false" customHeight="true" outlineLevel="0" collapsed="false">
      <c r="A52" s="8" t="s">
        <v>103</v>
      </c>
      <c r="B52" s="9" t="s">
        <v>171</v>
      </c>
      <c r="C52" s="9" t="s">
        <v>172</v>
      </c>
      <c r="D52" s="9" t="s">
        <v>173</v>
      </c>
    </row>
    <row r="53" customFormat="false" ht="42" hidden="false" customHeight="true" outlineLevel="0" collapsed="false">
      <c r="A53" s="8" t="s">
        <v>104</v>
      </c>
      <c r="B53" s="9" t="s">
        <v>174</v>
      </c>
      <c r="C53" s="9" t="s">
        <v>175</v>
      </c>
      <c r="D53" s="9" t="s">
        <v>176</v>
      </c>
    </row>
    <row r="54" customFormat="false" ht="42" hidden="false" customHeight="true" outlineLevel="0" collapsed="false">
      <c r="A54" s="8" t="s">
        <v>105</v>
      </c>
      <c r="B54" s="9" t="s">
        <v>177</v>
      </c>
      <c r="C54" s="9" t="s">
        <v>178</v>
      </c>
      <c r="D54" s="9" t="s">
        <v>179</v>
      </c>
    </row>
  </sheetData>
  <mergeCells count="4">
    <mergeCell ref="B31:D31"/>
    <mergeCell ref="B32:D32"/>
    <mergeCell ref="B33:D33"/>
    <mergeCell ref="B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2026-10-14T10:08:29Z</dcterms:created>
  <dc:creator>openpyxl</dc:creator>
  <dc:description/>
  <dc:language>en-US</dc:language>
  <cp:lastModifiedBy/>
  <dcterms:modified xsi:type="dcterms:W3CDTF">2026-10-14T10:08:29Z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