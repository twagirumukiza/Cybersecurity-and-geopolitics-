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hases" sheetId="2" state="visible" r:id="rId4"/>
    <sheet name="Categories" sheetId="3" state="visible" r:id="rId5"/>
    <sheet name="Fiche" sheetId="4" state="visible" r:id="rId6"/>
    <sheet name="Synthese" sheetId="5" state="visible" r:id="rId7"/>
    <sheet name="Parametr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<sst xmlns="http://schemas.openxmlformats.org/spreadsheetml/2006/main" count="242" uniqueCount="179">
  <si>
    <t xml:space="preserve">Matrice d'intégration de la dimension géopolitique : classeur de travail</t>
  </si>
  <si>
    <t xml:space="preserve">Complément à l'article « Dépendances numériques et résilience organisationnelle » (Innocent Twagirumukiza, octobre 2026), section 3.6</t>
  </si>
  <si>
    <t xml:space="preserve">À quoi sert ce classeur</t>
  </si>
  <si>
    <t xml:space="preserve">Il aide à intégrer la dimension géopolitique à chaque phase de l'analyse du risque cyber, sans en faire un score de plus. La grille de l'article (3.4) mesure l'exposition structurelle ; la couche géopolitique est notée à part et module la priorité.</t>
  </si>
  <si>
    <t xml:space="preserve">Mode d'emploi</t>
  </si>
  <si>
    <t xml:space="preserve">1. Onglet « Phases » : repérez la phase d'analyse en cours et posez la question géopolitique correspondante.</t>
  </si>
  <si>
    <t xml:space="preserve">2. Onglet « Categories » : pour chaque dépendance cartographiée, identifiez sa catégorie et les leviers géopolitiques possibles.</t>
  </si>
  <si>
    <t xml:space="preserve">3. Onglet « Fiche » : une ligne par dépendance. Remplissez les cellules bleues (listes déroulantes) : les quatre dimensions d'exposition, la résilience, puis les trois modulateurs géopolitiques.</t>
  </si>
  <si>
    <t xml:space="preserve">4. Renseignez le niveau de preuve (A à D), la source du signal et la date de revue. Une alerte apparaît dans la colonne « Contrôle » si l'activation est élevée sans lien établi, ou si le niveau de preuve manque.</t>
  </si>
  <si>
    <t xml:space="preserve">5. Lisez le résultat : exposition structurelle, activation géopolitique, priorité avant puis après ajustement par la résilience. Choisissez enfin une décision : réduire, diversifier, surveiller ou compenser.</t>
  </si>
  <si>
    <t xml:space="preserve">6. Onglet « Synthese » : répartition des dépendances par priorité et par catégorie.</t>
  </si>
  <si>
    <t xml:space="preserve">7. Onglet « Parametres » : seuils et matrice de priorisation modifiables, à calibrer par secteur.</t>
  </si>
  <si>
    <t xml:space="preserve">Légende</t>
  </si>
  <si>
    <t xml:space="preserve">Texte bleu sur fond crème : cellule à remplir. Texte noir sur fond gris : formule, à ne pas modifier. La ligne EX-01 est un exemple fictif (section 7.6 de l'article) : remplacez-la ou supprimez son contenu.</t>
  </si>
  <si>
    <t xml:space="preserve">Règles de calcul (valeurs par défaut)</t>
  </si>
  <si>
    <t xml:space="preserve">Exposition structurelle = moyenne des quatre dimensions (Faible = 1, Modérée = 2, Élevée = 3). Activation géopolitique = moyenne des trois modulateurs. Seuils : moyenne ≥ 2,5 : élevée ; ≥ 1,75 : modérée ; sinon faible.</t>
  </si>
  <si>
    <t xml:space="preserve">Priorité = croisement exposition × activation (onglet « Parametres »). Résilience faible : +1 niveau de priorité ; résilience solide : −1 niveau.</t>
  </si>
  <si>
    <t xml:space="preserve">Statut</t>
  </si>
  <si>
    <t xml:space="preserve">Proposition de l'auteur, indicative. Seuils et règles ne sont pas validés empiriquement : ils doivent être calibrés par secteur et soumis à des praticiens (voir 8.2 de l'article). Les niveaux de preuve A à D reprennent ceux de l'article (4.4) ; pour une dépendance en cours d'analyse, ils qualifient la source du signal géopolitique.</t>
  </si>
  <si>
    <t xml:space="preserve">Article : https://twagirumukiza.github.io/Cybersecurity-and-geopolitics-/</t>
  </si>
  <si>
    <t xml:space="preserve">Matrice 1 : phases d'analyse × questions géopolitiques</t>
  </si>
  <si>
    <t xml:space="preserve">N°</t>
  </si>
  <si>
    <t xml:space="preserve">Phase</t>
  </si>
  <si>
    <t xml:space="preserve">Question géopolitique à poser</t>
  </si>
  <si>
    <t xml:space="preserve">Facteurs observables à consulter</t>
  </si>
  <si>
    <t xml:space="preserve">Livrable</t>
  </si>
  <si>
    <t xml:space="preserve">Réf. article</t>
  </si>
  <si>
    <t xml:space="preserve">Cadrage</t>
  </si>
  <si>
    <t xml:space="preserve">Quelles fonctions essentielles souffriraient si le contexte international se dégradait ?</t>
  </si>
  <si>
    <t xml:space="preserve">Secteur d'activité, présence à l'étranger, rôle dans des infrastructures critiques</t>
  </si>
  <si>
    <t xml:space="preserve">Fonctions essentielles et périmètre de dépendance</t>
  </si>
  <si>
    <t xml:space="preserve">3.1</t>
  </si>
  <si>
    <t xml:space="preserve">Cartographie</t>
  </si>
  <si>
    <t xml:space="preserve">De quelles ressources externes dépend-on (rang 1 et 2, matériel, IA), et où sont-elles localisées ou juridiquement rattachées ?</t>
  </si>
  <si>
    <t xml:space="preserve">Localisation, juridiction applicable, sous-traitants de rang 2, origine des composants</t>
  </si>
  <si>
    <t xml:space="preserve">Dépendances classées dans les cinq catégories</t>
  </si>
  <si>
    <t xml:space="preserve">7.1</t>
  </si>
  <si>
    <t xml:space="preserve">Scénarios</t>
  </si>
  <si>
    <t xml:space="preserve">Quel levier géopolitique pourrait s'exercer sur chaque dépendance ?</t>
  </si>
  <si>
    <t xml:space="preserve">Opération étatique, sanctions, contrôle à l'exportation, pression sur un nœud central, effet collatéral</t>
  </si>
  <si>
    <t xml:space="preserve">Scénarios cyber et non cyber</t>
  </si>
  <si>
    <t xml:space="preserve">3.3</t>
  </si>
  <si>
    <t xml:space="preserve">Évaluation</t>
  </si>
  <si>
    <t xml:space="preserve">Quelle est la cotation sur les cinq dimensions, et quelle est l'activation géopolitique, notée à part ?</t>
  </si>
  <si>
    <t xml:space="preserve">Restrictions commerciales, tensions diplomatiques, concentration industrielle, contraintes juridiques, sanctions, accès à la maintenance</t>
  </si>
  <si>
    <t xml:space="preserve">Fiche par dépendance (onglet « Fiche »)</t>
  </si>
  <si>
    <t xml:space="preserve">3.4, 4.4</t>
  </si>
  <si>
    <t xml:space="preserve">Traitement</t>
  </si>
  <si>
    <t xml:space="preserve">Faut-il réduire, diversifier, surveiller ou compenser la dépendance ?</t>
  </si>
  <si>
    <t xml:space="preserve">Délai de substitution, stratégies de sortie, accords de secours</t>
  </si>
  <si>
    <t xml:space="preserve">Décision de gouvernance motivée</t>
  </si>
  <si>
    <t xml:space="preserve">7.6</t>
  </si>
  <si>
    <t xml:space="preserve">Tests</t>
  </si>
  <si>
    <t xml:space="preserve">Que devient la fonction si la ressource manque 48 heures, une semaine, un mois ?</t>
  </si>
  <si>
    <t xml:space="preserve">Procédures dégradées, autonomie en durée</t>
  </si>
  <si>
    <t xml:space="preserve">Cote de résilience mise à jour</t>
  </si>
  <si>
    <t xml:space="preserve">7.3</t>
  </si>
  <si>
    <t xml:space="preserve">Veille et revue</t>
  </si>
  <si>
    <t xml:space="preserve">Quel signal déclenche une réévaluation de la couche géopolitique ?</t>
  </si>
  <si>
    <t xml:space="preserve">Nouvelles restrictions, sanctions, attributions officielles, publications institutionnelles</t>
  </si>
  <si>
    <t xml:space="preserve">Calendrier et déclencheurs de révision</t>
  </si>
  <si>
    <t xml:space="preserve">7.2</t>
  </si>
  <si>
    <t xml:space="preserve">Matrice 2 : catégories de dépendances × leviers géopolitiques</t>
  </si>
  <si>
    <t xml:space="preserve">Catégorie</t>
  </si>
  <si>
    <t xml:space="preserve">Levier géopolitique possible</t>
  </si>
  <si>
    <t xml:space="preserve">Facteurs à surveiller</t>
  </si>
  <si>
    <t xml:space="preserve">Cas de référence (niveau de preuve)</t>
  </si>
  <si>
    <t xml:space="preserve">Logicielle</t>
  </si>
  <si>
    <t xml:space="preserve">Opération étatique contre un éditeur, contraintes juridiques pesant sur lui</t>
  </si>
  <si>
    <t xml:space="preserve">Juridiction de l'éditeur, privilèges de l'outil, canal de mise à jour</t>
  </si>
  <si>
    <t xml:space="preserve">SolarWinds, NotPetya (A)</t>
  </si>
  <si>
    <t xml:space="preserve">Industrielle (OT)</t>
  </si>
  <si>
    <t xml:space="preserve">Sabotage d'infrastructures essentielles</t>
  </si>
  <si>
    <t xml:space="preserve">Accès à distance, existence de procédures manuelles</t>
  </si>
  <si>
    <t xml:space="preserve">Réseau électrique ukrainien (A)</t>
  </si>
  <si>
    <t xml:space="preserve">Intermédiaire de service</t>
  </si>
  <si>
    <t xml:space="preserve">Pression sur un nœud central, effet collatéral d'un conflit</t>
  </si>
  <si>
    <t xml:space="preserve">Part de marché du prestataire, concentration sectorielle</t>
  </si>
  <si>
    <t xml:space="preserve">Change Healthcare (C)</t>
  </si>
  <si>
    <t xml:space="preserve">Matérielle</t>
  </si>
  <si>
    <t xml:space="preserve">Restrictions à l'exportation, sanctions</t>
  </si>
  <si>
    <t xml:space="preserve">Part d'un pays dans le raffinage et la fabrication</t>
  </si>
  <si>
    <t xml:space="preserve">Terres rares (D)</t>
  </si>
  <si>
    <t xml:space="preserve">Algorithmique</t>
  </si>
  <si>
    <t xml:space="preserve">Contrôle des exportations de composants de calcul, juridiction applicable</t>
  </si>
  <si>
    <t xml:space="preserve">Localisation du calcul, stabilité du cadre réglementaire</t>
  </si>
  <si>
    <t xml:space="preserve">IA et calcul (D)</t>
  </si>
  <si>
    <t xml:space="preserve">Matrice 3 : fiche d'analyse par dépendance (couche géopolitique et priorisation)</t>
  </si>
  <si>
    <t xml:space="preserve">Cellules bleues : à remplir (listes déroulantes). Cellules grises : calculées. Ligne EX-01 : exemple fictif à remplacer.</t>
  </si>
  <si>
    <t xml:space="preserve">Identification</t>
  </si>
  <si>
    <t xml:space="preserve">Grille structurelle (3.4)</t>
  </si>
  <si>
    <t xml:space="preserve">Couche géopolitique (3.6)</t>
  </si>
  <si>
    <t xml:space="preserve">Résultat</t>
  </si>
  <si>
    <t xml:space="preserve">Décision et revue</t>
  </si>
  <si>
    <t xml:space="preserve">Calculs intermédiaires</t>
  </si>
  <si>
    <t xml:space="preserve">ID</t>
  </si>
  <si>
    <t xml:space="preserve">Dépendance (ressource ou fournisseur)</t>
  </si>
  <si>
    <t xml:space="preserve">Fonction essentielle soutenue</t>
  </si>
  <si>
    <t xml:space="preserve">Dépendance</t>
  </si>
  <si>
    <t xml:space="preserve">Concentration</t>
  </si>
  <si>
    <t xml:space="preserve">Substitution</t>
  </si>
  <si>
    <t xml:space="preserve">Propagation</t>
  </si>
  <si>
    <t xml:space="preserve">Résilience</t>
  </si>
  <si>
    <t xml:space="preserve">Probabilité de ciblage</t>
  </si>
  <si>
    <t xml:space="preserve">Durée probable de la perturbation</t>
  </si>
  <si>
    <t xml:space="preserve">Accès à la maintenance et aux mises à jour</t>
  </si>
  <si>
    <t xml:space="preserve">Niveau de preuve (A à D)</t>
  </si>
  <si>
    <t xml:space="preserve">Source du signal</t>
  </si>
  <si>
    <t xml:space="preserve">Date de revue</t>
  </si>
  <si>
    <t xml:space="preserve">Exposition structurelle</t>
  </si>
  <si>
    <t xml:space="preserve">Activation géopolitique</t>
  </si>
  <si>
    <t xml:space="preserve">Priorité avant résilience</t>
  </si>
  <si>
    <t xml:space="preserve">Priorité finale</t>
  </si>
  <si>
    <t xml:space="preserve">Contrôle</t>
  </si>
  <si>
    <t xml:space="preserve">Décision retenue</t>
  </si>
  <si>
    <t xml:space="preserve">Déclencheur de révision</t>
  </si>
  <si>
    <t xml:space="preserve">Moyenne exposition</t>
  </si>
  <si>
    <t xml:space="preserve">Niveau exposition (1-3)</t>
  </si>
  <si>
    <t xml:space="preserve">Moyenne activation</t>
  </si>
  <si>
    <t xml:space="preserve">Niveau activation (1-3)</t>
  </si>
  <si>
    <t xml:space="preserve">Rang priorité de base</t>
  </si>
  <si>
    <t xml:space="preserve">EX-01</t>
  </si>
  <si>
    <t xml:space="preserve">Système de supervision de la chaîne du froid, hébergé chez un prestataire</t>
  </si>
  <si>
    <t xml:space="preserve">Maintien de la chaîne du froid sur tous les sites</t>
  </si>
  <si>
    <t xml:space="preserve">Élevée</t>
  </si>
  <si>
    <t xml:space="preserve">Modérée</t>
  </si>
  <si>
    <t xml:space="preserve">Faible</t>
  </si>
  <si>
    <t xml:space="preserve">C</t>
  </si>
  <si>
    <t xml:space="preserve">Exemple fictif (section 7.6) : aucun signal géopolitique identifié</t>
  </si>
  <si>
    <t xml:space="preserve">2026-10</t>
  </si>
  <si>
    <t xml:space="preserve">Compenser</t>
  </si>
  <si>
    <t xml:space="preserve">Nouvelle restriction ou tension touchant l'hébergeur ; échec de l'exercice de 48 h</t>
  </si>
  <si>
    <t xml:space="preserve">Synthèse des dépendances analysées</t>
  </si>
  <si>
    <t xml:space="preserve">Répartition par priorité finale</t>
  </si>
  <si>
    <t xml:space="preserve">Priorité</t>
  </si>
  <si>
    <t xml:space="preserve">Nombre</t>
  </si>
  <si>
    <t xml:space="preserve">Traiter en priorité</t>
  </si>
  <si>
    <t xml:space="preserve">Traiter</t>
  </si>
  <si>
    <t xml:space="preserve">Surveiller</t>
  </si>
  <si>
    <t xml:space="preserve">Accepter et suivre</t>
  </si>
  <si>
    <t xml:space="preserve">Accepter</t>
  </si>
  <si>
    <t xml:space="preserve">Total</t>
  </si>
  <si>
    <t xml:space="preserve">Répartition par catégorie et par priorité</t>
  </si>
  <si>
    <t xml:space="preserve">Exposition structurelle × activation géopolitique (nombre de dépendances)</t>
  </si>
  <si>
    <t xml:space="preserve">Exposition \ Activation</t>
  </si>
  <si>
    <t xml:space="preserve">Paramètres (modifiables)</t>
  </si>
  <si>
    <t xml:space="preserve">Niveaux d'exposition et d'activation (ordre croissant)</t>
  </si>
  <si>
    <t xml:space="preserve">Niveaux de résilience (ordre croissant)</t>
  </si>
  <si>
    <t xml:space="preserve">Partielle</t>
  </si>
  <si>
    <t xml:space="preserve">Solide</t>
  </si>
  <si>
    <t xml:space="preserve">Seuils de la moyenne</t>
  </si>
  <si>
    <t xml:space="preserve">Seuil « élevée » (moyenne ≥)</t>
  </si>
  <si>
    <t xml:space="preserve">Seuil « modérée » (moyenne ≥)</t>
  </si>
  <si>
    <t xml:space="preserve">Échelle de priorité (ordre croissant)</t>
  </si>
  <si>
    <t xml:space="preserve">Matrice de priorité de base (lignes : exposition ; colonnes : activation)</t>
  </si>
  <si>
    <t xml:space="preserve">Niveaux de preuve</t>
  </si>
  <si>
    <t xml:space="preserve">A</t>
  </si>
  <si>
    <t xml:space="preserve">Attribution ou décision officielle documentée (autorité publique, inculpation, mesure formelle)</t>
  </si>
  <si>
    <t xml:space="preserve">B</t>
  </si>
  <si>
    <t xml:space="preserve">Contexte géopolitique documenté, sans attribution formelle</t>
  </si>
  <si>
    <t xml:space="preserve">Aucun lien géopolitique établi (impact systémique seul)</t>
  </si>
  <si>
    <t xml:space="preserve">D</t>
  </si>
  <si>
    <t xml:space="preserve">Perturbation résultant d'une décision ou d'une politique publique non cyber (restriction, sanction, contrôle à l'export)</t>
  </si>
  <si>
    <t xml:space="preserve">En cas de doute entre deux niveaux, retenir celui qui suppose le moins de lien géopolitique (annexe A de l'article).</t>
  </si>
  <si>
    <t xml:space="preserve">Catégories de dépendances</t>
  </si>
  <si>
    <t xml:space="preserve">Décisions possibles</t>
  </si>
  <si>
    <t xml:space="preserve">Réduire</t>
  </si>
  <si>
    <t xml:space="preserve">Diversifier</t>
  </si>
  <si>
    <t xml:space="preserve">Guide de cotation des modulateurs géopolitiques</t>
  </si>
  <si>
    <t xml:space="preserve">Modulateur</t>
  </si>
  <si>
    <t xml:space="preserve">Aucun signal de tension touchant le secteur ou le fournisseur</t>
  </si>
  <si>
    <t xml:space="preserve">Tensions ou attributions documentées dans le secteur</t>
  </si>
  <si>
    <t xml:space="preserve">Campagne ou attribution active visant le secteur ou le fournisseur</t>
  </si>
  <si>
    <t xml:space="preserve">Incident technique ponctuel</t>
  </si>
  <si>
    <t xml:space="preserve">Restriction pouvant durer plusieurs semaines</t>
  </si>
  <si>
    <t xml:space="preserve">Restriction politique ou juridique durable (plusieurs mois)</t>
  </si>
  <si>
    <t xml:space="preserve">Maintenance assurée localement ou auprès de plusieurs sources</t>
  </si>
  <si>
    <t xml:space="preserve">Canal unique mais contournable</t>
  </si>
  <si>
    <t xml:space="preserve">Maintenance dépendant d'une autorité ou d'une juridiction pouvant la bloquer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</si>
</sst>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D47A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47A1"/>
        <bgColor rgb="FF0066CC"/>
      </patternFill>
    </fill>
    <fill>
      <patternFill patternType="solid">
        <fgColor rgb="FF37474F"/>
        <bgColor rgb="FF555555"/>
      </patternFill>
    </fill>
    <fill>
      <patternFill patternType="solid">
        <fgColor rgb="FF1B5E20"/>
        <bgColor rgb="FF37474F"/>
      </patternFill>
    </fill>
    <fill>
      <patternFill patternType="solid">
        <fgColor rgb="FF6A1B9A"/>
        <bgColor rgb="FF800080"/>
      </patternFill>
    </fill>
    <fill>
      <patternFill patternType="solid">
        <fgColor rgb="FFBF360C"/>
        <bgColor rgb="FF993366"/>
      </patternFill>
    </fill>
    <fill>
      <patternFill patternType="solid">
        <fgColor rgb="FF616161"/>
        <bgColor rgb="FF555555"/>
      </patternFill>
    </fill>
    <fill>
      <patternFill patternType="solid">
        <fgColor rgb="FFFFFBE6"/>
        <bgColor rgb="FFFFFFFF"/>
      </patternFill>
    </fill>
    <fill>
      <patternFill patternType="solid">
        <fgColor rgb="FFF0F1F3"/>
        <bgColor rgb="FFE2EFDA"/>
      </patternFill>
    </fill>
    <fill>
      <patternFill patternType="solid">
        <fgColor rgb="FFFFFFCC"/>
        <bgColor rgb="FFFFFB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C5CC"/>
      </left>
      <right style="thin">
        <color rgb="FFBFC5CC"/>
      </right>
      <top style="thin">
        <color rgb="FFBFC5CC"/>
      </top>
      <bottom style="thin">
        <color rgb="FFBFC5CC"/>
      </bottom>
      <diagonal/>
    </border>
    <border diagonalUp="false" diagonalDown="false">
      <left style="thin">
        <color rgb="FFBFC5CC"/>
      </left>
      <right/>
      <top style="thin">
        <color rgb="FFBFC5CC"/>
      </top>
      <bottom style="thin">
        <color rgb="FFBFC5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C6E0B4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FE0B2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6A1B9A"/>
      <rgbColor rgb="FF008080"/>
      <rgbColor rgb="FFBFC5CC"/>
      <rgbColor rgb="FF808080"/>
      <rgbColor rgb="FF9999FF"/>
      <rgbColor rgb="FF993366"/>
      <rgbColor rgb="FFFFFFCC"/>
      <rgbColor rgb="FFF0F1F3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BE6"/>
      <rgbColor rgb="FFE2EFDA"/>
      <rgbColor rgb="FFFFF2CC"/>
      <rgbColor rgb="FF99CCFF"/>
      <rgbColor rgb="FFFFE0B2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16161"/>
      <rgbColor rgb="FF969696"/>
      <rgbColor rgb="FF0D47A1"/>
      <rgbColor rgb="FF339966"/>
      <rgbColor rgb="FF003300"/>
      <rgbColor rgb="FF333300"/>
      <rgbColor rgb="FFBF360C"/>
      <rgbColor rgb="FF993366"/>
      <rgbColor rgb="FF555555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45" hidden="false" customHeight="tru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30" hidden="false" customHeight="true" outlineLevel="0" collapsed="false">
      <c r="A7" s="4" t="s">
        <v>5</v>
      </c>
    </row>
    <row r="8" customFormat="false" ht="30" hidden="false" customHeight="true" outlineLevel="0" collapsed="false">
      <c r="A8" s="4" t="s">
        <v>6</v>
      </c>
    </row>
    <row r="9" customFormat="false" ht="45" hidden="false" customHeight="true" outlineLevel="0" collapsed="false">
      <c r="A9" s="4" t="s">
        <v>7</v>
      </c>
    </row>
    <row r="10" customFormat="false" ht="45" hidden="false" customHeight="true" outlineLevel="0" collapsed="false">
      <c r="A10" s="4" t="s">
        <v>8</v>
      </c>
    </row>
    <row r="11" customFormat="false" ht="45" hidden="false" customHeight="true" outlineLevel="0" collapsed="false">
      <c r="A11" s="4" t="s">
        <v>9</v>
      </c>
    </row>
    <row r="12" customFormat="false" ht="15.75" hidden="false" customHeight="true" outlineLevel="0" collapsed="false">
      <c r="A12" s="4" t="s">
        <v>10</v>
      </c>
    </row>
    <row r="13" customFormat="false" ht="30" hidden="false" customHeight="true" outlineLevel="0" collapsed="false">
      <c r="A13" s="4" t="s">
        <v>11</v>
      </c>
    </row>
    <row r="14" customFormat="false" ht="15" hidden="false" customHeight="false" outlineLevel="0" collapsed="false">
      <c r="A14" s="3" t="s">
        <v>12</v>
      </c>
    </row>
    <row r="15" customFormat="false" ht="45" hidden="false" customHeight="true" outlineLevel="0" collapsed="false">
      <c r="A15" s="4" t="s">
        <v>13</v>
      </c>
    </row>
    <row r="16" customFormat="false" ht="15" hidden="false" customHeight="false" outlineLevel="0" collapsed="false">
      <c r="A16" s="3" t="s">
        <v>14</v>
      </c>
    </row>
    <row r="17" customFormat="false" ht="45" hidden="false" customHeight="true" outlineLevel="0" collapsed="false">
      <c r="A17" s="4" t="s">
        <v>15</v>
      </c>
    </row>
    <row r="18" customFormat="false" ht="30" hidden="false" customHeight="true" outlineLevel="0" collapsed="false">
      <c r="A18" s="4" t="s">
        <v>16</v>
      </c>
    </row>
    <row r="19" customFormat="false" ht="15" hidden="false" customHeight="false" outlineLevel="0" collapsed="false">
      <c r="A19" s="3" t="s">
        <v>17</v>
      </c>
    </row>
    <row r="20" customFormat="false" ht="60" hidden="false" customHeight="true" outlineLevel="0" collapsed="false">
      <c r="A20" s="4" t="s">
        <v>18</v>
      </c>
    </row>
    <row r="21" customFormat="false" ht="15.75" hidden="false" customHeight="true" outlineLevel="0" collapsed="false">
      <c r="A21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52"/>
    <col collapsed="false" customWidth="true" hidden="false" outlineLevel="0" max="5" min="5" style="0" width="36"/>
    <col collapsed="false" customWidth="true" hidden="false" outlineLevel="0" max="6" min="6" style="0" width="12"/>
  </cols>
  <sheetData>
    <row r="1" customFormat="false" ht="17.35" hidden="false" customHeight="false" outlineLevel="0" collapsed="false">
      <c r="A1" s="1" t="s">
        <v>20</v>
      </c>
    </row>
    <row r="3" customFormat="false" ht="1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26</v>
      </c>
    </row>
    <row r="4" customFormat="false" ht="61.5" hidden="false" customHeight="true" outlineLevel="0" collapsed="false">
      <c r="A4" s="6" t="n">
        <v>1</v>
      </c>
      <c r="B4" s="7" t="s">
        <v>27</v>
      </c>
      <c r="C4" s="8" t="s">
        <v>28</v>
      </c>
      <c r="D4" s="8" t="s">
        <v>29</v>
      </c>
      <c r="E4" s="8" t="s">
        <v>30</v>
      </c>
      <c r="F4" s="6" t="s">
        <v>31</v>
      </c>
    </row>
    <row r="5" customFormat="false" ht="61.5" hidden="false" customHeight="true" outlineLevel="0" collapsed="false">
      <c r="A5" s="6" t="n">
        <v>2</v>
      </c>
      <c r="B5" s="7" t="s">
        <v>32</v>
      </c>
      <c r="C5" s="8" t="s">
        <v>33</v>
      </c>
      <c r="D5" s="8" t="s">
        <v>34</v>
      </c>
      <c r="E5" s="8" t="s">
        <v>35</v>
      </c>
      <c r="F5" s="6" t="s">
        <v>36</v>
      </c>
    </row>
    <row r="6" customFormat="false" ht="61.5" hidden="false" customHeight="true" outlineLevel="0" collapsed="false">
      <c r="A6" s="6" t="n">
        <v>3</v>
      </c>
      <c r="B6" s="7" t="s">
        <v>37</v>
      </c>
      <c r="C6" s="8" t="s">
        <v>38</v>
      </c>
      <c r="D6" s="8" t="s">
        <v>39</v>
      </c>
      <c r="E6" s="8" t="s">
        <v>40</v>
      </c>
      <c r="F6" s="6" t="s">
        <v>41</v>
      </c>
    </row>
    <row r="7" customFormat="false" ht="61.5" hidden="false" customHeight="true" outlineLevel="0" collapsed="false">
      <c r="A7" s="6" t="n">
        <v>4</v>
      </c>
      <c r="B7" s="7" t="s">
        <v>42</v>
      </c>
      <c r="C7" s="8" t="s">
        <v>43</v>
      </c>
      <c r="D7" s="8" t="s">
        <v>44</v>
      </c>
      <c r="E7" s="8" t="s">
        <v>45</v>
      </c>
      <c r="F7" s="6" t="s">
        <v>46</v>
      </c>
    </row>
    <row r="8" customFormat="false" ht="61.5" hidden="false" customHeight="true" outlineLevel="0" collapsed="false">
      <c r="A8" s="6" t="n">
        <v>5</v>
      </c>
      <c r="B8" s="7" t="s">
        <v>47</v>
      </c>
      <c r="C8" s="8" t="s">
        <v>48</v>
      </c>
      <c r="D8" s="8" t="s">
        <v>49</v>
      </c>
      <c r="E8" s="8" t="s">
        <v>50</v>
      </c>
      <c r="F8" s="6" t="s">
        <v>51</v>
      </c>
    </row>
    <row r="9" customFormat="false" ht="61.5" hidden="false" customHeight="true" outlineLevel="0" collapsed="false">
      <c r="A9" s="6" t="n">
        <v>6</v>
      </c>
      <c r="B9" s="7" t="s">
        <v>52</v>
      </c>
      <c r="C9" s="8" t="s">
        <v>53</v>
      </c>
      <c r="D9" s="8" t="s">
        <v>54</v>
      </c>
      <c r="E9" s="8" t="s">
        <v>55</v>
      </c>
      <c r="F9" s="6" t="s">
        <v>56</v>
      </c>
    </row>
    <row r="10" customFormat="false" ht="61.5" hidden="false" customHeight="true" outlineLevel="0" collapsed="false">
      <c r="A10" s="6" t="n">
        <v>7</v>
      </c>
      <c r="B10" s="7" t="s">
        <v>57</v>
      </c>
      <c r="C10" s="8" t="s">
        <v>58</v>
      </c>
      <c r="D10" s="8" t="s">
        <v>59</v>
      </c>
      <c r="E10" s="8" t="s">
        <v>60</v>
      </c>
      <c r="F10" s="6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2"/>
    <col collapsed="false" customWidth="true" hidden="false" outlineLevel="0" max="3" min="3" style="0" width="50"/>
    <col collapsed="false" customWidth="true" hidden="false" outlineLevel="0" max="4" min="4" style="0" width="32"/>
  </cols>
  <sheetData>
    <row r="1" customFormat="false" ht="17.35" hidden="false" customHeight="false" outlineLevel="0" collapsed="false">
      <c r="A1" s="1" t="s">
        <v>62</v>
      </c>
    </row>
    <row r="3" customFormat="false" ht="15" hidden="false" customHeight="false" outlineLevel="0" collapsed="false">
      <c r="A3" s="5" t="s">
        <v>63</v>
      </c>
      <c r="B3" s="5" t="s">
        <v>64</v>
      </c>
      <c r="C3" s="5" t="s">
        <v>65</v>
      </c>
      <c r="D3" s="5" t="s">
        <v>66</v>
      </c>
    </row>
    <row r="4" customFormat="false" ht="45.75" hidden="false" customHeight="true" outlineLevel="0" collapsed="false">
      <c r="A4" s="7" t="s">
        <v>67</v>
      </c>
      <c r="B4" s="8" t="s">
        <v>68</v>
      </c>
      <c r="C4" s="8" t="s">
        <v>69</v>
      </c>
      <c r="D4" s="8" t="s">
        <v>70</v>
      </c>
    </row>
    <row r="5" customFormat="false" ht="45.75" hidden="false" customHeight="true" outlineLevel="0" collapsed="false">
      <c r="A5" s="7" t="s">
        <v>71</v>
      </c>
      <c r="B5" s="8" t="s">
        <v>72</v>
      </c>
      <c r="C5" s="8" t="s">
        <v>73</v>
      </c>
      <c r="D5" s="8" t="s">
        <v>74</v>
      </c>
    </row>
    <row r="6" customFormat="false" ht="45.75" hidden="false" customHeight="true" outlineLevel="0" collapsed="false">
      <c r="A6" s="7" t="s">
        <v>75</v>
      </c>
      <c r="B6" s="8" t="s">
        <v>76</v>
      </c>
      <c r="C6" s="8" t="s">
        <v>77</v>
      </c>
      <c r="D6" s="8" t="s">
        <v>78</v>
      </c>
    </row>
    <row r="7" customFormat="false" ht="45.75" hidden="false" customHeight="true" outlineLevel="0" collapsed="false">
      <c r="A7" s="7" t="s">
        <v>79</v>
      </c>
      <c r="B7" s="8" t="s">
        <v>80</v>
      </c>
      <c r="C7" s="8" t="s">
        <v>81</v>
      </c>
      <c r="D7" s="8" t="s">
        <v>82</v>
      </c>
    </row>
    <row r="8" customFormat="false" ht="45.75" hidden="false" customHeight="true" outlineLevel="0" collapsed="false">
      <c r="A8" s="7" t="s">
        <v>83</v>
      </c>
      <c r="B8" s="8" t="s">
        <v>84</v>
      </c>
      <c r="C8" s="8" t="s">
        <v>85</v>
      </c>
      <c r="D8" s="8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9" min="7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3" min="13" style="0" width="12"/>
    <col collapsed="false" customWidth="true" hidden="false" outlineLevel="0" max="14" min="14" style="0" width="32"/>
    <col collapsed="false" customWidth="true" hidden="false" outlineLevel="0" max="15" min="15" style="0" width="11"/>
    <col collapsed="false" customWidth="true" hidden="false" outlineLevel="0" max="16" min="16" style="0" width="15"/>
    <col collapsed="false" customWidth="true" hidden="false" outlineLevel="0" max="17" min="17" style="0" width="16"/>
    <col collapsed="false" customWidth="true" hidden="false" outlineLevel="0" max="19" min="18" style="0" width="17"/>
    <col collapsed="false" customWidth="true" hidden="false" outlineLevel="0" max="20" min="20" style="0" width="36"/>
    <col collapsed="false" customWidth="true" hidden="false" outlineLevel="0" max="21" min="21" style="0" width="13"/>
    <col collapsed="false" customWidth="true" hidden="false" outlineLevel="0" max="22" min="22" style="0" width="32"/>
    <col collapsed="false" customWidth="true" hidden="false" outlineLevel="0" max="27" min="23" style="0" width="11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true" outlineLevel="0" collapsed="false">
      <c r="A4" s="9" t="s">
        <v>89</v>
      </c>
      <c r="B4" s="9"/>
      <c r="C4" s="9"/>
      <c r="D4" s="9"/>
      <c r="E4" s="10" t="s">
        <v>90</v>
      </c>
      <c r="F4" s="10"/>
      <c r="G4" s="10"/>
      <c r="H4" s="10"/>
      <c r="I4" s="10"/>
      <c r="J4" s="11" t="s">
        <v>91</v>
      </c>
      <c r="K4" s="11"/>
      <c r="L4" s="11"/>
      <c r="M4" s="11"/>
      <c r="N4" s="11"/>
      <c r="O4" s="11"/>
      <c r="P4" s="12" t="s">
        <v>92</v>
      </c>
      <c r="Q4" s="12"/>
      <c r="R4" s="12"/>
      <c r="S4" s="12"/>
      <c r="T4" s="12"/>
      <c r="U4" s="13" t="s">
        <v>93</v>
      </c>
      <c r="V4" s="13"/>
      <c r="W4" s="14" t="s">
        <v>94</v>
      </c>
      <c r="X4" s="14"/>
      <c r="Y4" s="14"/>
      <c r="Z4" s="14"/>
      <c r="AA4" s="14"/>
    </row>
    <row r="5" customFormat="false" ht="57.75" hidden="false" customHeight="true" outlineLevel="0" collapsed="false">
      <c r="A5" s="15" t="s">
        <v>95</v>
      </c>
      <c r="B5" s="15" t="s">
        <v>96</v>
      </c>
      <c r="C5" s="15" t="s">
        <v>63</v>
      </c>
      <c r="D5" s="15" t="s">
        <v>97</v>
      </c>
      <c r="E5" s="5" t="s">
        <v>98</v>
      </c>
      <c r="F5" s="5" t="s">
        <v>99</v>
      </c>
      <c r="G5" s="5" t="s">
        <v>100</v>
      </c>
      <c r="H5" s="5" t="s">
        <v>101</v>
      </c>
      <c r="I5" s="5" t="s">
        <v>102</v>
      </c>
      <c r="J5" s="16" t="s">
        <v>103</v>
      </c>
      <c r="K5" s="16" t="s">
        <v>104</v>
      </c>
      <c r="L5" s="16" t="s">
        <v>105</v>
      </c>
      <c r="M5" s="16" t="s">
        <v>106</v>
      </c>
      <c r="N5" s="16" t="s">
        <v>107</v>
      </c>
      <c r="O5" s="16" t="s">
        <v>108</v>
      </c>
      <c r="P5" s="17" t="s">
        <v>109</v>
      </c>
      <c r="Q5" s="17" t="s">
        <v>110</v>
      </c>
      <c r="R5" s="17" t="s">
        <v>111</v>
      </c>
      <c r="S5" s="17" t="s">
        <v>112</v>
      </c>
      <c r="T5" s="17" t="s">
        <v>113</v>
      </c>
      <c r="U5" s="18" t="s">
        <v>114</v>
      </c>
      <c r="V5" s="18" t="s">
        <v>115</v>
      </c>
      <c r="W5" s="19" t="s">
        <v>116</v>
      </c>
      <c r="X5" s="19" t="s">
        <v>117</v>
      </c>
      <c r="Y5" s="19" t="s">
        <v>118</v>
      </c>
      <c r="Z5" s="19" t="s">
        <v>119</v>
      </c>
      <c r="AA5" s="19" t="s">
        <v>120</v>
      </c>
    </row>
    <row r="6" customFormat="false" ht="54" hidden="false" customHeight="true" outlineLevel="0" collapsed="false">
      <c r="A6" s="20" t="s">
        <v>121</v>
      </c>
      <c r="B6" s="21" t="s">
        <v>122</v>
      </c>
      <c r="C6" s="21" t="s">
        <v>71</v>
      </c>
      <c r="D6" s="21" t="s">
        <v>123</v>
      </c>
      <c r="E6" s="20" t="s">
        <v>124</v>
      </c>
      <c r="F6" s="20" t="s">
        <v>124</v>
      </c>
      <c r="G6" s="20" t="s">
        <v>125</v>
      </c>
      <c r="H6" s="20" t="s">
        <v>124</v>
      </c>
      <c r="I6" s="20" t="s">
        <v>126</v>
      </c>
      <c r="J6" s="20" t="s">
        <v>126</v>
      </c>
      <c r="K6" s="20" t="s">
        <v>126</v>
      </c>
      <c r="L6" s="20" t="s">
        <v>125</v>
      </c>
      <c r="M6" s="20" t="s">
        <v>127</v>
      </c>
      <c r="N6" s="21" t="s">
        <v>128</v>
      </c>
      <c r="O6" s="20" t="s">
        <v>129</v>
      </c>
      <c r="P6" s="22" t="str">
        <f aca="false">IF(X6="","",INDEX(Parametres!$B$4:$B$6,X6))</f>
        <v>Élevée</v>
      </c>
      <c r="Q6" s="22" t="str">
        <f aca="false">IF(Z6="","",INDEX(Parametres!$B$4:$B$6,Z6))</f>
        <v>Faible</v>
      </c>
      <c r="R6" s="22" t="str">
        <f aca="false">IF(OR(X6="",Z6=""),"",INDEX(Parametres!$B$26:$D$28,X6,Z6))</f>
        <v>Surveiller</v>
      </c>
      <c r="S6" s="22" t="str">
        <f aca="false">IF(OR(AA6="",I6=""),"",INDEX(Parametres!$B$18:$B$22,MAX(1,MIN(5,AA6+2-MATCH(I6,Parametres!$B$9:$B$11,0)))))</f>
        <v>Traiter</v>
      </c>
      <c r="T6" s="23" t="str">
        <f aca="false">IF(Z6="","",IF(AND(Z6=3,M6="C"),"Vérifier : activation élevée sans lien géopolitique établi (niveau C)",IF(AND(Z6&gt;=2,M6=""),"Renseigner le niveau de preuve","")))</f>
        <v/>
      </c>
      <c r="U6" s="20" t="s">
        <v>130</v>
      </c>
      <c r="V6" s="21" t="s">
        <v>131</v>
      </c>
      <c r="W6" s="24" t="n">
        <f aca="false">IF(COUNTA(E6:H6)&lt;4,"",AVERAGE(MATCH(E6,Parametres!$B$4:$B$6,0),MATCH(F6,Parametres!$B$4:$B$6,0),MATCH(G6,Parametres!$B$4:$B$6,0),MATCH(H6,Parametres!$B$4:$B$6,0)))</f>
        <v>2.75</v>
      </c>
      <c r="X6" s="22" t="n">
        <f aca="false">IF(W6="","",IF(W6&gt;=Parametres!$B$14,3,IF(W6&gt;=Parametres!$B$15,2,1)))</f>
        <v>3</v>
      </c>
      <c r="Y6" s="24" t="n">
        <f aca="false">IF(COUNTA(J6:L6)&lt;3,"",AVERAGE(MATCH(J6,Parametres!$B$4:$B$6,0),MATCH(K6,Parametres!$B$4:$B$6,0),MATCH(L6,Parametres!$B$4:$B$6,0)))</f>
        <v>1.33333333333333</v>
      </c>
      <c r="Z6" s="22" t="n">
        <f aca="false">IF(Y6="","",IF(Y6&gt;=Parametres!$B$14,3,IF(Y6&gt;=Parametres!$B$15,2,1)))</f>
        <v>1</v>
      </c>
      <c r="AA6" s="22" t="n">
        <f aca="false">IF(R6="","",MATCH(R6,Parametres!$B$18:$B$22,0))</f>
        <v>3</v>
      </c>
    </row>
    <row r="7" customFormat="false" ht="30" hidden="false" customHeight="true" outlineLevel="0" collapsed="false">
      <c r="A7" s="20"/>
      <c r="B7" s="21"/>
      <c r="C7" s="21"/>
      <c r="D7" s="21"/>
      <c r="E7" s="20"/>
      <c r="F7" s="20"/>
      <c r="G7" s="20"/>
      <c r="H7" s="20"/>
      <c r="I7" s="20"/>
      <c r="J7" s="20"/>
      <c r="K7" s="20"/>
      <c r="L7" s="20"/>
      <c r="M7" s="20"/>
      <c r="N7" s="21"/>
      <c r="O7" s="20"/>
      <c r="P7" s="22" t="str">
        <f aca="false">IF(X7="","",INDEX(Parametres!$B$4:$B$6,X7))</f>
        <v/>
      </c>
      <c r="Q7" s="22" t="str">
        <f aca="false">IF(Z7="","",INDEX(Parametres!$B$4:$B$6,Z7))</f>
        <v/>
      </c>
      <c r="R7" s="22" t="str">
        <f aca="false">IF(OR(X7="",Z7=""),"",INDEX(Parametres!$B$26:$D$28,X7,Z7))</f>
        <v/>
      </c>
      <c r="S7" s="22" t="str">
        <f aca="false">IF(OR(AA7="",I7=""),"",INDEX(Parametres!$B$18:$B$22,MAX(1,MIN(5,AA7+2-MATCH(I7,Parametres!$B$9:$B$11,0)))))</f>
        <v/>
      </c>
      <c r="T7" s="23" t="str">
        <f aca="false">IF(Z7="","",IF(AND(Z7=3,M7="C"),"Vérifier : activation élevée sans lien géopolitique établi (niveau C)",IF(AND(Z7&gt;=2,M7=""),"Renseigner le niveau de preuve","")))</f>
        <v/>
      </c>
      <c r="U7" s="20"/>
      <c r="V7" s="21"/>
      <c r="W7" s="24" t="str">
        <f aca="false">IF(COUNTA(E7:H7)&lt;4,"",AVERAGE(MATCH(E7,Parametres!$B$4:$B$6,0),MATCH(F7,Parametres!$B$4:$B$6,0),MATCH(G7,Parametres!$B$4:$B$6,0),MATCH(H7,Parametres!$B$4:$B$6,0)))</f>
        <v/>
      </c>
      <c r="X7" s="22" t="str">
        <f aca="false">IF(W7="","",IF(W7&gt;=Parametres!$B$14,3,IF(W7&gt;=Parametres!$B$15,2,1)))</f>
        <v/>
      </c>
      <c r="Y7" s="24" t="str">
        <f aca="false">IF(COUNTA(J7:L7)&lt;3,"",AVERAGE(MATCH(J7,Parametres!$B$4:$B$6,0),MATCH(K7,Parametres!$B$4:$B$6,0),MATCH(L7,Parametres!$B$4:$B$6,0)))</f>
        <v/>
      </c>
      <c r="Z7" s="22" t="str">
        <f aca="false">IF(Y7="","",IF(Y7&gt;=Parametres!$B$14,3,IF(Y7&gt;=Parametres!$B$15,2,1)))</f>
        <v/>
      </c>
      <c r="AA7" s="22" t="str">
        <f aca="false">IF(R7="","",MATCH(R7,Parametres!$B$18:$B$22,0))</f>
        <v/>
      </c>
    </row>
    <row r="8" customFormat="false" ht="30" hidden="false" customHeight="true" outlineLevel="0" collapsed="false">
      <c r="A8" s="20"/>
      <c r="B8" s="21"/>
      <c r="C8" s="21"/>
      <c r="D8" s="21"/>
      <c r="E8" s="20"/>
      <c r="F8" s="20"/>
      <c r="G8" s="20"/>
      <c r="H8" s="20"/>
      <c r="I8" s="20"/>
      <c r="J8" s="20"/>
      <c r="K8" s="20"/>
      <c r="L8" s="20"/>
      <c r="M8" s="20"/>
      <c r="N8" s="21"/>
      <c r="O8" s="20"/>
      <c r="P8" s="22" t="str">
        <f aca="false">IF(X8="","",INDEX(Parametres!$B$4:$B$6,X8))</f>
        <v/>
      </c>
      <c r="Q8" s="22" t="str">
        <f aca="false">IF(Z8="","",INDEX(Parametres!$B$4:$B$6,Z8))</f>
        <v/>
      </c>
      <c r="R8" s="22" t="str">
        <f aca="false">IF(OR(X8="",Z8=""),"",INDEX(Parametres!$B$26:$D$28,X8,Z8))</f>
        <v/>
      </c>
      <c r="S8" s="22" t="str">
        <f aca="false">IF(OR(AA8="",I8=""),"",INDEX(Parametres!$B$18:$B$22,MAX(1,MIN(5,AA8+2-MATCH(I8,Parametres!$B$9:$B$11,0)))))</f>
        <v/>
      </c>
      <c r="T8" s="23" t="str">
        <f aca="false">IF(Z8="","",IF(AND(Z8=3,M8="C"),"Vérifier : activation élevée sans lien géopolitique établi (niveau C)",IF(AND(Z8&gt;=2,M8=""),"Renseigner le niveau de preuve","")))</f>
        <v/>
      </c>
      <c r="U8" s="20"/>
      <c r="V8" s="21"/>
      <c r="W8" s="24" t="str">
        <f aca="false">IF(COUNTA(E8:H8)&lt;4,"",AVERAGE(MATCH(E8,Parametres!$B$4:$B$6,0),MATCH(F8,Parametres!$B$4:$B$6,0),MATCH(G8,Parametres!$B$4:$B$6,0),MATCH(H8,Parametres!$B$4:$B$6,0)))</f>
        <v/>
      </c>
      <c r="X8" s="22" t="str">
        <f aca="false">IF(W8="","",IF(W8&gt;=Parametres!$B$14,3,IF(W8&gt;=Parametres!$B$15,2,1)))</f>
        <v/>
      </c>
      <c r="Y8" s="24" t="str">
        <f aca="false">IF(COUNTA(J8:L8)&lt;3,"",AVERAGE(MATCH(J8,Parametres!$B$4:$B$6,0),MATCH(K8,Parametres!$B$4:$B$6,0),MATCH(L8,Parametres!$B$4:$B$6,0)))</f>
        <v/>
      </c>
      <c r="Z8" s="22" t="str">
        <f aca="false">IF(Y8="","",IF(Y8&gt;=Parametres!$B$14,3,IF(Y8&gt;=Parametres!$B$15,2,1)))</f>
        <v/>
      </c>
      <c r="AA8" s="22" t="str">
        <f aca="false">IF(R8="","",MATCH(R8,Parametres!$B$18:$B$22,0))</f>
        <v/>
      </c>
    </row>
    <row r="9" customFormat="false" ht="30" hidden="false" customHeight="true" outlineLevel="0" collapsed="false">
      <c r="A9" s="20"/>
      <c r="B9" s="21"/>
      <c r="C9" s="21"/>
      <c r="D9" s="21"/>
      <c r="E9" s="20"/>
      <c r="F9" s="20"/>
      <c r="G9" s="20"/>
      <c r="H9" s="20"/>
      <c r="I9" s="20"/>
      <c r="J9" s="20"/>
      <c r="K9" s="20"/>
      <c r="L9" s="20"/>
      <c r="M9" s="20"/>
      <c r="N9" s="21"/>
      <c r="O9" s="20"/>
      <c r="P9" s="22" t="str">
        <f aca="false">IF(X9="","",INDEX(Parametres!$B$4:$B$6,X9))</f>
        <v/>
      </c>
      <c r="Q9" s="22" t="str">
        <f aca="false">IF(Z9="","",INDEX(Parametres!$B$4:$B$6,Z9))</f>
        <v/>
      </c>
      <c r="R9" s="22" t="str">
        <f aca="false">IF(OR(X9="",Z9=""),"",INDEX(Parametres!$B$26:$D$28,X9,Z9))</f>
        <v/>
      </c>
      <c r="S9" s="22" t="str">
        <f aca="false">IF(OR(AA9="",I9=""),"",INDEX(Parametres!$B$18:$B$22,MAX(1,MIN(5,AA9+2-MATCH(I9,Parametres!$B$9:$B$11,0)))))</f>
        <v/>
      </c>
      <c r="T9" s="23" t="str">
        <f aca="false">IF(Z9="","",IF(AND(Z9=3,M9="C"),"Vérifier : activation élevée sans lien géopolitique établi (niveau C)",IF(AND(Z9&gt;=2,M9=""),"Renseigner le niveau de preuve","")))</f>
        <v/>
      </c>
      <c r="U9" s="20"/>
      <c r="V9" s="21"/>
      <c r="W9" s="24" t="str">
        <f aca="false">IF(COUNTA(E9:H9)&lt;4,"",AVERAGE(MATCH(E9,Parametres!$B$4:$B$6,0),MATCH(F9,Parametres!$B$4:$B$6,0),MATCH(G9,Parametres!$B$4:$B$6,0),MATCH(H9,Parametres!$B$4:$B$6,0)))</f>
        <v/>
      </c>
      <c r="X9" s="22" t="str">
        <f aca="false">IF(W9="","",IF(W9&gt;=Parametres!$B$14,3,IF(W9&gt;=Parametres!$B$15,2,1)))</f>
        <v/>
      </c>
      <c r="Y9" s="24" t="str">
        <f aca="false">IF(COUNTA(J9:L9)&lt;3,"",AVERAGE(MATCH(J9,Parametres!$B$4:$B$6,0),MATCH(K9,Parametres!$B$4:$B$6,0),MATCH(L9,Parametres!$B$4:$B$6,0)))</f>
        <v/>
      </c>
      <c r="Z9" s="22" t="str">
        <f aca="false">IF(Y9="","",IF(Y9&gt;=Parametres!$B$14,3,IF(Y9&gt;=Parametres!$B$15,2,1)))</f>
        <v/>
      </c>
      <c r="AA9" s="22" t="str">
        <f aca="false">IF(R9="","",MATCH(R9,Parametres!$B$18:$B$22,0))</f>
        <v/>
      </c>
    </row>
    <row r="10" customFormat="false" ht="30" hidden="false" customHeight="true" outlineLevel="0" collapsed="false">
      <c r="A10" s="20"/>
      <c r="B10" s="21"/>
      <c r="C10" s="21"/>
      <c r="D10" s="21"/>
      <c r="E10" s="20"/>
      <c r="F10" s="20"/>
      <c r="G10" s="20"/>
      <c r="H10" s="20"/>
      <c r="I10" s="20"/>
      <c r="J10" s="20"/>
      <c r="K10" s="20"/>
      <c r="L10" s="20"/>
      <c r="M10" s="20"/>
      <c r="N10" s="21"/>
      <c r="O10" s="20"/>
      <c r="P10" s="22" t="str">
        <f aca="false">IF(X10="","",INDEX(Parametres!$B$4:$B$6,X10))</f>
        <v/>
      </c>
      <c r="Q10" s="22" t="str">
        <f aca="false">IF(Z10="","",INDEX(Parametres!$B$4:$B$6,Z10))</f>
        <v/>
      </c>
      <c r="R10" s="22" t="str">
        <f aca="false">IF(OR(X10="",Z10=""),"",INDEX(Parametres!$B$26:$D$28,X10,Z10))</f>
        <v/>
      </c>
      <c r="S10" s="22" t="str">
        <f aca="false">IF(OR(AA10="",I10=""),"",INDEX(Parametres!$B$18:$B$22,MAX(1,MIN(5,AA10+2-MATCH(I10,Parametres!$B$9:$B$11,0)))))</f>
        <v/>
      </c>
      <c r="T10" s="23" t="str">
        <f aca="false">IF(Z10="","",IF(AND(Z10=3,M10="C"),"Vérifier : activation élevée sans lien géopolitique établi (niveau C)",IF(AND(Z10&gt;=2,M10=""),"Renseigner le niveau de preuve","")))</f>
        <v/>
      </c>
      <c r="U10" s="20"/>
      <c r="V10" s="21"/>
      <c r="W10" s="24" t="str">
        <f aca="false">IF(COUNTA(E10:H10)&lt;4,"",AVERAGE(MATCH(E10,Parametres!$B$4:$B$6,0),MATCH(F10,Parametres!$B$4:$B$6,0),MATCH(G10,Parametres!$B$4:$B$6,0),MATCH(H10,Parametres!$B$4:$B$6,0)))</f>
        <v/>
      </c>
      <c r="X10" s="22" t="str">
        <f aca="false">IF(W10="","",IF(W10&gt;=Parametres!$B$14,3,IF(W10&gt;=Parametres!$B$15,2,1)))</f>
        <v/>
      </c>
      <c r="Y10" s="24" t="str">
        <f aca="false">IF(COUNTA(J10:L10)&lt;3,"",AVERAGE(MATCH(J10,Parametres!$B$4:$B$6,0),MATCH(K10,Parametres!$B$4:$B$6,0),MATCH(L10,Parametres!$B$4:$B$6,0)))</f>
        <v/>
      </c>
      <c r="Z10" s="22" t="str">
        <f aca="false">IF(Y10="","",IF(Y10&gt;=Parametres!$B$14,3,IF(Y10&gt;=Parametres!$B$15,2,1)))</f>
        <v/>
      </c>
      <c r="AA10" s="22" t="str">
        <f aca="false">IF(R10="","",MATCH(R10,Parametres!$B$18:$B$22,0))</f>
        <v/>
      </c>
    </row>
    <row r="11" customFormat="false" ht="30" hidden="false" customHeight="true" outlineLevel="0" collapsed="false">
      <c r="A11" s="20"/>
      <c r="B11" s="21"/>
      <c r="C11" s="21"/>
      <c r="D11" s="21"/>
      <c r="E11" s="20"/>
      <c r="F11" s="20"/>
      <c r="G11" s="20"/>
      <c r="H11" s="20"/>
      <c r="I11" s="20"/>
      <c r="J11" s="20"/>
      <c r="K11" s="20"/>
      <c r="L11" s="20"/>
      <c r="M11" s="20"/>
      <c r="N11" s="21"/>
      <c r="O11" s="20"/>
      <c r="P11" s="22" t="str">
        <f aca="false">IF(X11="","",INDEX(Parametres!$B$4:$B$6,X11))</f>
        <v/>
      </c>
      <c r="Q11" s="22" t="str">
        <f aca="false">IF(Z11="","",INDEX(Parametres!$B$4:$B$6,Z11))</f>
        <v/>
      </c>
      <c r="R11" s="22" t="str">
        <f aca="false">IF(OR(X11="",Z11=""),"",INDEX(Parametres!$B$26:$D$28,X11,Z11))</f>
        <v/>
      </c>
      <c r="S11" s="22" t="str">
        <f aca="false">IF(OR(AA11="",I11=""),"",INDEX(Parametres!$B$18:$B$22,MAX(1,MIN(5,AA11+2-MATCH(I11,Parametres!$B$9:$B$11,0)))))</f>
        <v/>
      </c>
      <c r="T11" s="23" t="str">
        <f aca="false">IF(Z11="","",IF(AND(Z11=3,M11="C"),"Vérifier : activation élevée sans lien géopolitique établi (niveau C)",IF(AND(Z11&gt;=2,M11=""),"Renseigner le niveau de preuve","")))</f>
        <v/>
      </c>
      <c r="U11" s="20"/>
      <c r="V11" s="21"/>
      <c r="W11" s="24" t="str">
        <f aca="false">IF(COUNTA(E11:H11)&lt;4,"",AVERAGE(MATCH(E11,Parametres!$B$4:$B$6,0),MATCH(F11,Parametres!$B$4:$B$6,0),MATCH(G11,Parametres!$B$4:$B$6,0),MATCH(H11,Parametres!$B$4:$B$6,0)))</f>
        <v/>
      </c>
      <c r="X11" s="22" t="str">
        <f aca="false">IF(W11="","",IF(W11&gt;=Parametres!$B$14,3,IF(W11&gt;=Parametres!$B$15,2,1)))</f>
        <v/>
      </c>
      <c r="Y11" s="24" t="str">
        <f aca="false">IF(COUNTA(J11:L11)&lt;3,"",AVERAGE(MATCH(J11,Parametres!$B$4:$B$6,0),MATCH(K11,Parametres!$B$4:$B$6,0),MATCH(L11,Parametres!$B$4:$B$6,0)))</f>
        <v/>
      </c>
      <c r="Z11" s="22" t="str">
        <f aca="false">IF(Y11="","",IF(Y11&gt;=Parametres!$B$14,3,IF(Y11&gt;=Parametres!$B$15,2,1)))</f>
        <v/>
      </c>
      <c r="AA11" s="22" t="str">
        <f aca="false">IF(R11="","",MATCH(R11,Parametres!$B$18:$B$22,0))</f>
        <v/>
      </c>
    </row>
    <row r="12" customFormat="false" ht="30" hidden="false" customHeight="true" outlineLevel="0" collapsed="false">
      <c r="A12" s="20"/>
      <c r="B12" s="21"/>
      <c r="C12" s="21"/>
      <c r="D12" s="21"/>
      <c r="E12" s="20"/>
      <c r="F12" s="20"/>
      <c r="G12" s="20"/>
      <c r="H12" s="20"/>
      <c r="I12" s="20"/>
      <c r="J12" s="20"/>
      <c r="K12" s="20"/>
      <c r="L12" s="20"/>
      <c r="M12" s="20"/>
      <c r="N12" s="21"/>
      <c r="O12" s="20"/>
      <c r="P12" s="22" t="str">
        <f aca="false">IF(X12="","",INDEX(Parametres!$B$4:$B$6,X12))</f>
        <v/>
      </c>
      <c r="Q12" s="22" t="str">
        <f aca="false">IF(Z12="","",INDEX(Parametres!$B$4:$B$6,Z12))</f>
        <v/>
      </c>
      <c r="R12" s="22" t="str">
        <f aca="false">IF(OR(X12="",Z12=""),"",INDEX(Parametres!$B$26:$D$28,X12,Z12))</f>
        <v/>
      </c>
      <c r="S12" s="22" t="str">
        <f aca="false">IF(OR(AA12="",I12=""),"",INDEX(Parametres!$B$18:$B$22,MAX(1,MIN(5,AA12+2-MATCH(I12,Parametres!$B$9:$B$11,0)))))</f>
        <v/>
      </c>
      <c r="T12" s="23" t="str">
        <f aca="false">IF(Z12="","",IF(AND(Z12=3,M12="C"),"Vérifier : activation élevée sans lien géopolitique établi (niveau C)",IF(AND(Z12&gt;=2,M12=""),"Renseigner le niveau de preuve","")))</f>
        <v/>
      </c>
      <c r="U12" s="20"/>
      <c r="V12" s="21"/>
      <c r="W12" s="24" t="str">
        <f aca="false">IF(COUNTA(E12:H12)&lt;4,"",AVERAGE(MATCH(E12,Parametres!$B$4:$B$6,0),MATCH(F12,Parametres!$B$4:$B$6,0),MATCH(G12,Parametres!$B$4:$B$6,0),MATCH(H12,Parametres!$B$4:$B$6,0)))</f>
        <v/>
      </c>
      <c r="X12" s="22" t="str">
        <f aca="false">IF(W12="","",IF(W12&gt;=Parametres!$B$14,3,IF(W12&gt;=Parametres!$B$15,2,1)))</f>
        <v/>
      </c>
      <c r="Y12" s="24" t="str">
        <f aca="false">IF(COUNTA(J12:L12)&lt;3,"",AVERAGE(MATCH(J12,Parametres!$B$4:$B$6,0),MATCH(K12,Parametres!$B$4:$B$6,0),MATCH(L12,Parametres!$B$4:$B$6,0)))</f>
        <v/>
      </c>
      <c r="Z12" s="22" t="str">
        <f aca="false">IF(Y12="","",IF(Y12&gt;=Parametres!$B$14,3,IF(Y12&gt;=Parametres!$B$15,2,1)))</f>
        <v/>
      </c>
      <c r="AA12" s="22" t="str">
        <f aca="false">IF(R12="","",MATCH(R12,Parametres!$B$18:$B$22,0))</f>
        <v/>
      </c>
    </row>
    <row r="13" customFormat="false" ht="30" hidden="false" customHeight="true" outlineLevel="0" collapsed="false">
      <c r="A13" s="20"/>
      <c r="B13" s="21"/>
      <c r="C13" s="21"/>
      <c r="D13" s="21"/>
      <c r="E13" s="20"/>
      <c r="F13" s="20"/>
      <c r="G13" s="20"/>
      <c r="H13" s="20"/>
      <c r="I13" s="20"/>
      <c r="J13" s="20"/>
      <c r="K13" s="20"/>
      <c r="L13" s="20"/>
      <c r="M13" s="20"/>
      <c r="N13" s="21"/>
      <c r="O13" s="20"/>
      <c r="P13" s="22" t="str">
        <f aca="false">IF(X13="","",INDEX(Parametres!$B$4:$B$6,X13))</f>
        <v/>
      </c>
      <c r="Q13" s="22" t="str">
        <f aca="false">IF(Z13="","",INDEX(Parametres!$B$4:$B$6,Z13))</f>
        <v/>
      </c>
      <c r="R13" s="22" t="str">
        <f aca="false">IF(OR(X13="",Z13=""),"",INDEX(Parametres!$B$26:$D$28,X13,Z13))</f>
        <v/>
      </c>
      <c r="S13" s="22" t="str">
        <f aca="false">IF(OR(AA13="",I13=""),"",INDEX(Parametres!$B$18:$B$22,MAX(1,MIN(5,AA13+2-MATCH(I13,Parametres!$B$9:$B$11,0)))))</f>
        <v/>
      </c>
      <c r="T13" s="23" t="str">
        <f aca="false">IF(Z13="","",IF(AND(Z13=3,M13="C"),"Vérifier : activation élevée sans lien géopolitique établi (niveau C)",IF(AND(Z13&gt;=2,M13=""),"Renseigner le niveau de preuve","")))</f>
        <v/>
      </c>
      <c r="U13" s="20"/>
      <c r="V13" s="21"/>
      <c r="W13" s="24" t="str">
        <f aca="false">IF(COUNTA(E13:H13)&lt;4,"",AVERAGE(MATCH(E13,Parametres!$B$4:$B$6,0),MATCH(F13,Parametres!$B$4:$B$6,0),MATCH(G13,Parametres!$B$4:$B$6,0),MATCH(H13,Parametres!$B$4:$B$6,0)))</f>
        <v/>
      </c>
      <c r="X13" s="22" t="str">
        <f aca="false">IF(W13="","",IF(W13&gt;=Parametres!$B$14,3,IF(W13&gt;=Parametres!$B$15,2,1)))</f>
        <v/>
      </c>
      <c r="Y13" s="24" t="str">
        <f aca="false">IF(COUNTA(J13:L13)&lt;3,"",AVERAGE(MATCH(J13,Parametres!$B$4:$B$6,0),MATCH(K13,Parametres!$B$4:$B$6,0),MATCH(L13,Parametres!$B$4:$B$6,0)))</f>
        <v/>
      </c>
      <c r="Z13" s="22" t="str">
        <f aca="false">IF(Y13="","",IF(Y13&gt;=Parametres!$B$14,3,IF(Y13&gt;=Parametres!$B$15,2,1)))</f>
        <v/>
      </c>
      <c r="AA13" s="22" t="str">
        <f aca="false">IF(R13="","",MATCH(R13,Parametres!$B$18:$B$22,0))</f>
        <v/>
      </c>
    </row>
    <row r="14" customFormat="false" ht="30" hidden="false" customHeight="true" outlineLevel="0" collapsed="false">
      <c r="A14" s="20"/>
      <c r="B14" s="21"/>
      <c r="C14" s="21"/>
      <c r="D14" s="21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0"/>
      <c r="P14" s="22" t="str">
        <f aca="false">IF(X14="","",INDEX(Parametres!$B$4:$B$6,X14))</f>
        <v/>
      </c>
      <c r="Q14" s="22" t="str">
        <f aca="false">IF(Z14="","",INDEX(Parametres!$B$4:$B$6,Z14))</f>
        <v/>
      </c>
      <c r="R14" s="22" t="str">
        <f aca="false">IF(OR(X14="",Z14=""),"",INDEX(Parametres!$B$26:$D$28,X14,Z14))</f>
        <v/>
      </c>
      <c r="S14" s="22" t="str">
        <f aca="false">IF(OR(AA14="",I14=""),"",INDEX(Parametres!$B$18:$B$22,MAX(1,MIN(5,AA14+2-MATCH(I14,Parametres!$B$9:$B$11,0)))))</f>
        <v/>
      </c>
      <c r="T14" s="23" t="str">
        <f aca="false">IF(Z14="","",IF(AND(Z14=3,M14="C"),"Vérifier : activation élevée sans lien géopolitique établi (niveau C)",IF(AND(Z14&gt;=2,M14=""),"Renseigner le niveau de preuve","")))</f>
        <v/>
      </c>
      <c r="U14" s="20"/>
      <c r="V14" s="21"/>
      <c r="W14" s="24" t="str">
        <f aca="false">IF(COUNTA(E14:H14)&lt;4,"",AVERAGE(MATCH(E14,Parametres!$B$4:$B$6,0),MATCH(F14,Parametres!$B$4:$B$6,0),MATCH(G14,Parametres!$B$4:$B$6,0),MATCH(H14,Parametres!$B$4:$B$6,0)))</f>
        <v/>
      </c>
      <c r="X14" s="22" t="str">
        <f aca="false">IF(W14="","",IF(W14&gt;=Parametres!$B$14,3,IF(W14&gt;=Parametres!$B$15,2,1)))</f>
        <v/>
      </c>
      <c r="Y14" s="24" t="str">
        <f aca="false">IF(COUNTA(J14:L14)&lt;3,"",AVERAGE(MATCH(J14,Parametres!$B$4:$B$6,0),MATCH(K14,Parametres!$B$4:$B$6,0),MATCH(L14,Parametres!$B$4:$B$6,0)))</f>
        <v/>
      </c>
      <c r="Z14" s="22" t="str">
        <f aca="false">IF(Y14="","",IF(Y14&gt;=Parametres!$B$14,3,IF(Y14&gt;=Parametres!$B$15,2,1)))</f>
        <v/>
      </c>
      <c r="AA14" s="22" t="str">
        <f aca="false">IF(R14="","",MATCH(R14,Parametres!$B$18:$B$22,0))</f>
        <v/>
      </c>
    </row>
    <row r="15" customFormat="false" ht="30" hidden="false" customHeight="true" outlineLevel="0" collapsed="false">
      <c r="A15" s="20"/>
      <c r="B15" s="21"/>
      <c r="C15" s="21"/>
      <c r="D15" s="21"/>
      <c r="E15" s="20"/>
      <c r="F15" s="20"/>
      <c r="G15" s="20"/>
      <c r="H15" s="20"/>
      <c r="I15" s="20"/>
      <c r="J15" s="20"/>
      <c r="K15" s="20"/>
      <c r="L15" s="20"/>
      <c r="M15" s="20"/>
      <c r="N15" s="21"/>
      <c r="O15" s="20"/>
      <c r="P15" s="22" t="str">
        <f aca="false">IF(X15="","",INDEX(Parametres!$B$4:$B$6,X15))</f>
        <v/>
      </c>
      <c r="Q15" s="22" t="str">
        <f aca="false">IF(Z15="","",INDEX(Parametres!$B$4:$B$6,Z15))</f>
        <v/>
      </c>
      <c r="R15" s="22" t="str">
        <f aca="false">IF(OR(X15="",Z15=""),"",INDEX(Parametres!$B$26:$D$28,X15,Z15))</f>
        <v/>
      </c>
      <c r="S15" s="22" t="str">
        <f aca="false">IF(OR(AA15="",I15=""),"",INDEX(Parametres!$B$18:$B$22,MAX(1,MIN(5,AA15+2-MATCH(I15,Parametres!$B$9:$B$11,0)))))</f>
        <v/>
      </c>
      <c r="T15" s="23" t="str">
        <f aca="false">IF(Z15="","",IF(AND(Z15=3,M15="C"),"Vérifier : activation élevée sans lien géopolitique établi (niveau C)",IF(AND(Z15&gt;=2,M15=""),"Renseigner le niveau de preuve","")))</f>
        <v/>
      </c>
      <c r="U15" s="20"/>
      <c r="V15" s="21"/>
      <c r="W15" s="24" t="str">
        <f aca="false">IF(COUNTA(E15:H15)&lt;4,"",AVERAGE(MATCH(E15,Parametres!$B$4:$B$6,0),MATCH(F15,Parametres!$B$4:$B$6,0),MATCH(G15,Parametres!$B$4:$B$6,0),MATCH(H15,Parametres!$B$4:$B$6,0)))</f>
        <v/>
      </c>
      <c r="X15" s="22" t="str">
        <f aca="false">IF(W15="","",IF(W15&gt;=Parametres!$B$14,3,IF(W15&gt;=Parametres!$B$15,2,1)))</f>
        <v/>
      </c>
      <c r="Y15" s="24" t="str">
        <f aca="false">IF(COUNTA(J15:L15)&lt;3,"",AVERAGE(MATCH(J15,Parametres!$B$4:$B$6,0),MATCH(K15,Parametres!$B$4:$B$6,0),MATCH(L15,Parametres!$B$4:$B$6,0)))</f>
        <v/>
      </c>
      <c r="Z15" s="22" t="str">
        <f aca="false">IF(Y15="","",IF(Y15&gt;=Parametres!$B$14,3,IF(Y15&gt;=Parametres!$B$15,2,1)))</f>
        <v/>
      </c>
      <c r="AA15" s="22" t="str">
        <f aca="false">IF(R15="","",MATCH(R15,Parametres!$B$18:$B$22,0))</f>
        <v/>
      </c>
    </row>
    <row r="16" customFormat="false" ht="30" hidden="false" customHeight="true" outlineLevel="0" collapsed="false">
      <c r="A16" s="20"/>
      <c r="B16" s="21"/>
      <c r="C16" s="21"/>
      <c r="D16" s="21"/>
      <c r="E16" s="20"/>
      <c r="F16" s="20"/>
      <c r="G16" s="20"/>
      <c r="H16" s="20"/>
      <c r="I16" s="20"/>
      <c r="J16" s="20"/>
      <c r="K16" s="20"/>
      <c r="L16" s="20"/>
      <c r="M16" s="20"/>
      <c r="N16" s="21"/>
      <c r="O16" s="20"/>
      <c r="P16" s="22" t="str">
        <f aca="false">IF(X16="","",INDEX(Parametres!$B$4:$B$6,X16))</f>
        <v/>
      </c>
      <c r="Q16" s="22" t="str">
        <f aca="false">IF(Z16="","",INDEX(Parametres!$B$4:$B$6,Z16))</f>
        <v/>
      </c>
      <c r="R16" s="22" t="str">
        <f aca="false">IF(OR(X16="",Z16=""),"",INDEX(Parametres!$B$26:$D$28,X16,Z16))</f>
        <v/>
      </c>
      <c r="S16" s="22" t="str">
        <f aca="false">IF(OR(AA16="",I16=""),"",INDEX(Parametres!$B$18:$B$22,MAX(1,MIN(5,AA16+2-MATCH(I16,Parametres!$B$9:$B$11,0)))))</f>
        <v/>
      </c>
      <c r="T16" s="23" t="str">
        <f aca="false">IF(Z16="","",IF(AND(Z16=3,M16="C"),"Vérifier : activation élevée sans lien géopolitique établi (niveau C)",IF(AND(Z16&gt;=2,M16=""),"Renseigner le niveau de preuve","")))</f>
        <v/>
      </c>
      <c r="U16" s="20"/>
      <c r="V16" s="21"/>
      <c r="W16" s="24" t="str">
        <f aca="false">IF(COUNTA(E16:H16)&lt;4,"",AVERAGE(MATCH(E16,Parametres!$B$4:$B$6,0),MATCH(F16,Parametres!$B$4:$B$6,0),MATCH(G16,Parametres!$B$4:$B$6,0),MATCH(H16,Parametres!$B$4:$B$6,0)))</f>
        <v/>
      </c>
      <c r="X16" s="22" t="str">
        <f aca="false">IF(W16="","",IF(W16&gt;=Parametres!$B$14,3,IF(W16&gt;=Parametres!$B$15,2,1)))</f>
        <v/>
      </c>
      <c r="Y16" s="24" t="str">
        <f aca="false">IF(COUNTA(J16:L16)&lt;3,"",AVERAGE(MATCH(J16,Parametres!$B$4:$B$6,0),MATCH(K16,Parametres!$B$4:$B$6,0),MATCH(L16,Parametres!$B$4:$B$6,0)))</f>
        <v/>
      </c>
      <c r="Z16" s="22" t="str">
        <f aca="false">IF(Y16="","",IF(Y16&gt;=Parametres!$B$14,3,IF(Y16&gt;=Parametres!$B$15,2,1)))</f>
        <v/>
      </c>
      <c r="AA16" s="22" t="str">
        <f aca="false">IF(R16="","",MATCH(R16,Parametres!$B$18:$B$22,0))</f>
        <v/>
      </c>
    </row>
    <row r="17" customFormat="false" ht="30" hidden="false" customHeight="true" outlineLevel="0" collapsed="false">
      <c r="A17" s="20"/>
      <c r="B17" s="21"/>
      <c r="C17" s="21"/>
      <c r="D17" s="21"/>
      <c r="E17" s="20"/>
      <c r="F17" s="20"/>
      <c r="G17" s="20"/>
      <c r="H17" s="20"/>
      <c r="I17" s="20"/>
      <c r="J17" s="20"/>
      <c r="K17" s="20"/>
      <c r="L17" s="20"/>
      <c r="M17" s="20"/>
      <c r="N17" s="21"/>
      <c r="O17" s="20"/>
      <c r="P17" s="22" t="str">
        <f aca="false">IF(X17="","",INDEX(Parametres!$B$4:$B$6,X17))</f>
        <v/>
      </c>
      <c r="Q17" s="22" t="str">
        <f aca="false">IF(Z17="","",INDEX(Parametres!$B$4:$B$6,Z17))</f>
        <v/>
      </c>
      <c r="R17" s="22" t="str">
        <f aca="false">IF(OR(X17="",Z17=""),"",INDEX(Parametres!$B$26:$D$28,X17,Z17))</f>
        <v/>
      </c>
      <c r="S17" s="22" t="str">
        <f aca="false">IF(OR(AA17="",I17=""),"",INDEX(Parametres!$B$18:$B$22,MAX(1,MIN(5,AA17+2-MATCH(I17,Parametres!$B$9:$B$11,0)))))</f>
        <v/>
      </c>
      <c r="T17" s="23" t="str">
        <f aca="false">IF(Z17="","",IF(AND(Z17=3,M17="C"),"Vérifier : activation élevée sans lien géopolitique établi (niveau C)",IF(AND(Z17&gt;=2,M17=""),"Renseigner le niveau de preuve","")))</f>
        <v/>
      </c>
      <c r="U17" s="20"/>
      <c r="V17" s="21"/>
      <c r="W17" s="24" t="str">
        <f aca="false">IF(COUNTA(E17:H17)&lt;4,"",AVERAGE(MATCH(E17,Parametres!$B$4:$B$6,0),MATCH(F17,Parametres!$B$4:$B$6,0),MATCH(G17,Parametres!$B$4:$B$6,0),MATCH(H17,Parametres!$B$4:$B$6,0)))</f>
        <v/>
      </c>
      <c r="X17" s="22" t="str">
        <f aca="false">IF(W17="","",IF(W17&gt;=Parametres!$B$14,3,IF(W17&gt;=Parametres!$B$15,2,1)))</f>
        <v/>
      </c>
      <c r="Y17" s="24" t="str">
        <f aca="false">IF(COUNTA(J17:L17)&lt;3,"",AVERAGE(MATCH(J17,Parametres!$B$4:$B$6,0),MATCH(K17,Parametres!$B$4:$B$6,0),MATCH(L17,Parametres!$B$4:$B$6,0)))</f>
        <v/>
      </c>
      <c r="Z17" s="22" t="str">
        <f aca="false">IF(Y17="","",IF(Y17&gt;=Parametres!$B$14,3,IF(Y17&gt;=Parametres!$B$15,2,1)))</f>
        <v/>
      </c>
      <c r="AA17" s="22" t="str">
        <f aca="false">IF(R17="","",MATCH(R17,Parametres!$B$18:$B$22,0))</f>
        <v/>
      </c>
    </row>
    <row r="18" customFormat="false" ht="30" hidden="false" customHeight="true" outlineLevel="0" collapsed="false">
      <c r="A18" s="20"/>
      <c r="B18" s="21"/>
      <c r="C18" s="21"/>
      <c r="D18" s="21"/>
      <c r="E18" s="20"/>
      <c r="F18" s="20"/>
      <c r="G18" s="20"/>
      <c r="H18" s="20"/>
      <c r="I18" s="20"/>
      <c r="J18" s="20"/>
      <c r="K18" s="20"/>
      <c r="L18" s="20"/>
      <c r="M18" s="20"/>
      <c r="N18" s="21"/>
      <c r="O18" s="20"/>
      <c r="P18" s="22" t="str">
        <f aca="false">IF(X18="","",INDEX(Parametres!$B$4:$B$6,X18))</f>
        <v/>
      </c>
      <c r="Q18" s="22" t="str">
        <f aca="false">IF(Z18="","",INDEX(Parametres!$B$4:$B$6,Z18))</f>
        <v/>
      </c>
      <c r="R18" s="22" t="str">
        <f aca="false">IF(OR(X18="",Z18=""),"",INDEX(Parametres!$B$26:$D$28,X18,Z18))</f>
        <v/>
      </c>
      <c r="S18" s="22" t="str">
        <f aca="false">IF(OR(AA18="",I18=""),"",INDEX(Parametres!$B$18:$B$22,MAX(1,MIN(5,AA18+2-MATCH(I18,Parametres!$B$9:$B$11,0)))))</f>
        <v/>
      </c>
      <c r="T18" s="23" t="str">
        <f aca="false">IF(Z18="","",IF(AND(Z18=3,M18="C"),"Vérifier : activation élevée sans lien géopolitique établi (niveau C)",IF(AND(Z18&gt;=2,M18=""),"Renseigner le niveau de preuve","")))</f>
        <v/>
      </c>
      <c r="U18" s="20"/>
      <c r="V18" s="21"/>
      <c r="W18" s="24" t="str">
        <f aca="false">IF(COUNTA(E18:H18)&lt;4,"",AVERAGE(MATCH(E18,Parametres!$B$4:$B$6,0),MATCH(F18,Parametres!$B$4:$B$6,0),MATCH(G18,Parametres!$B$4:$B$6,0),MATCH(H18,Parametres!$B$4:$B$6,0)))</f>
        <v/>
      </c>
      <c r="X18" s="22" t="str">
        <f aca="false">IF(W18="","",IF(W18&gt;=Parametres!$B$14,3,IF(W18&gt;=Parametres!$B$15,2,1)))</f>
        <v/>
      </c>
      <c r="Y18" s="24" t="str">
        <f aca="false">IF(COUNTA(J18:L18)&lt;3,"",AVERAGE(MATCH(J18,Parametres!$B$4:$B$6,0),MATCH(K18,Parametres!$B$4:$B$6,0),MATCH(L18,Parametres!$B$4:$B$6,0)))</f>
        <v/>
      </c>
      <c r="Z18" s="22" t="str">
        <f aca="false">IF(Y18="","",IF(Y18&gt;=Parametres!$B$14,3,IF(Y18&gt;=Parametres!$B$15,2,1)))</f>
        <v/>
      </c>
      <c r="AA18" s="22" t="str">
        <f aca="false">IF(R18="","",MATCH(R18,Parametres!$B$18:$B$22,0))</f>
        <v/>
      </c>
    </row>
    <row r="19" customFormat="false" ht="30" hidden="false" customHeight="true" outlineLevel="0" collapsed="false">
      <c r="A19" s="20"/>
      <c r="B19" s="21"/>
      <c r="C19" s="21"/>
      <c r="D19" s="21"/>
      <c r="E19" s="20"/>
      <c r="F19" s="20"/>
      <c r="G19" s="20"/>
      <c r="H19" s="20"/>
      <c r="I19" s="20"/>
      <c r="J19" s="20"/>
      <c r="K19" s="20"/>
      <c r="L19" s="20"/>
      <c r="M19" s="20"/>
      <c r="N19" s="21"/>
      <c r="O19" s="20"/>
      <c r="P19" s="22" t="str">
        <f aca="false">IF(X19="","",INDEX(Parametres!$B$4:$B$6,X19))</f>
        <v/>
      </c>
      <c r="Q19" s="22" t="str">
        <f aca="false">IF(Z19="","",INDEX(Parametres!$B$4:$B$6,Z19))</f>
        <v/>
      </c>
      <c r="R19" s="22" t="str">
        <f aca="false">IF(OR(X19="",Z19=""),"",INDEX(Parametres!$B$26:$D$28,X19,Z19))</f>
        <v/>
      </c>
      <c r="S19" s="22" t="str">
        <f aca="false">IF(OR(AA19="",I19=""),"",INDEX(Parametres!$B$18:$B$22,MAX(1,MIN(5,AA19+2-MATCH(I19,Parametres!$B$9:$B$11,0)))))</f>
        <v/>
      </c>
      <c r="T19" s="23" t="str">
        <f aca="false">IF(Z19="","",IF(AND(Z19=3,M19="C"),"Vérifier : activation élevée sans lien géopolitique établi (niveau C)",IF(AND(Z19&gt;=2,M19=""),"Renseigner le niveau de preuve","")))</f>
        <v/>
      </c>
      <c r="U19" s="20"/>
      <c r="V19" s="21"/>
      <c r="W19" s="24" t="str">
        <f aca="false">IF(COUNTA(E19:H19)&lt;4,"",AVERAGE(MATCH(E19,Parametres!$B$4:$B$6,0),MATCH(F19,Parametres!$B$4:$B$6,0),MATCH(G19,Parametres!$B$4:$B$6,0),MATCH(H19,Parametres!$B$4:$B$6,0)))</f>
        <v/>
      </c>
      <c r="X19" s="22" t="str">
        <f aca="false">IF(W19="","",IF(W19&gt;=Parametres!$B$14,3,IF(W19&gt;=Parametres!$B$15,2,1)))</f>
        <v/>
      </c>
      <c r="Y19" s="24" t="str">
        <f aca="false">IF(COUNTA(J19:L19)&lt;3,"",AVERAGE(MATCH(J19,Parametres!$B$4:$B$6,0),MATCH(K19,Parametres!$B$4:$B$6,0),MATCH(L19,Parametres!$B$4:$B$6,0)))</f>
        <v/>
      </c>
      <c r="Z19" s="22" t="str">
        <f aca="false">IF(Y19="","",IF(Y19&gt;=Parametres!$B$14,3,IF(Y19&gt;=Parametres!$B$15,2,1)))</f>
        <v/>
      </c>
      <c r="AA19" s="22" t="str">
        <f aca="false">IF(R19="","",MATCH(R19,Parametres!$B$18:$B$22,0))</f>
        <v/>
      </c>
    </row>
    <row r="20" customFormat="false" ht="30" hidden="false" customHeight="true" outlineLevel="0" collapsed="false">
      <c r="A20" s="20"/>
      <c r="B20" s="21"/>
      <c r="C20" s="21"/>
      <c r="D20" s="21"/>
      <c r="E20" s="20"/>
      <c r="F20" s="20"/>
      <c r="G20" s="20"/>
      <c r="H20" s="20"/>
      <c r="I20" s="20"/>
      <c r="J20" s="20"/>
      <c r="K20" s="20"/>
      <c r="L20" s="20"/>
      <c r="M20" s="20"/>
      <c r="N20" s="21"/>
      <c r="O20" s="20"/>
      <c r="P20" s="22" t="str">
        <f aca="false">IF(X20="","",INDEX(Parametres!$B$4:$B$6,X20))</f>
        <v/>
      </c>
      <c r="Q20" s="22" t="str">
        <f aca="false">IF(Z20="","",INDEX(Parametres!$B$4:$B$6,Z20))</f>
        <v/>
      </c>
      <c r="R20" s="22" t="str">
        <f aca="false">IF(OR(X20="",Z20=""),"",INDEX(Parametres!$B$26:$D$28,X20,Z20))</f>
        <v/>
      </c>
      <c r="S20" s="22" t="str">
        <f aca="false">IF(OR(AA20="",I20=""),"",INDEX(Parametres!$B$18:$B$22,MAX(1,MIN(5,AA20+2-MATCH(I20,Parametres!$B$9:$B$11,0)))))</f>
        <v/>
      </c>
      <c r="T20" s="23" t="str">
        <f aca="false">IF(Z20="","",IF(AND(Z20=3,M20="C"),"Vérifier : activation élevée sans lien géopolitique établi (niveau C)",IF(AND(Z20&gt;=2,M20=""),"Renseigner le niveau de preuve","")))</f>
        <v/>
      </c>
      <c r="U20" s="20"/>
      <c r="V20" s="21"/>
      <c r="W20" s="24" t="str">
        <f aca="false">IF(COUNTA(E20:H20)&lt;4,"",AVERAGE(MATCH(E20,Parametres!$B$4:$B$6,0),MATCH(F20,Parametres!$B$4:$B$6,0),MATCH(G20,Parametres!$B$4:$B$6,0),MATCH(H20,Parametres!$B$4:$B$6,0)))</f>
        <v/>
      </c>
      <c r="X20" s="22" t="str">
        <f aca="false">IF(W20="","",IF(W20&gt;=Parametres!$B$14,3,IF(W20&gt;=Parametres!$B$15,2,1)))</f>
        <v/>
      </c>
      <c r="Y20" s="24" t="str">
        <f aca="false">IF(COUNTA(J20:L20)&lt;3,"",AVERAGE(MATCH(J20,Parametres!$B$4:$B$6,0),MATCH(K20,Parametres!$B$4:$B$6,0),MATCH(L20,Parametres!$B$4:$B$6,0)))</f>
        <v/>
      </c>
      <c r="Z20" s="22" t="str">
        <f aca="false">IF(Y20="","",IF(Y20&gt;=Parametres!$B$14,3,IF(Y20&gt;=Parametres!$B$15,2,1)))</f>
        <v/>
      </c>
      <c r="AA20" s="22" t="str">
        <f aca="false">IF(R20="","",MATCH(R20,Parametres!$B$18:$B$22,0))</f>
        <v/>
      </c>
    </row>
    <row r="21" customFormat="false" ht="30" hidden="false" customHeight="true" outlineLevel="0" collapsed="false">
      <c r="A21" s="20"/>
      <c r="B21" s="21"/>
      <c r="C21" s="21"/>
      <c r="D21" s="21"/>
      <c r="E21" s="20"/>
      <c r="F21" s="20"/>
      <c r="G21" s="20"/>
      <c r="H21" s="20"/>
      <c r="I21" s="20"/>
      <c r="J21" s="20"/>
      <c r="K21" s="20"/>
      <c r="L21" s="20"/>
      <c r="M21" s="20"/>
      <c r="N21" s="21"/>
      <c r="O21" s="20"/>
      <c r="P21" s="22" t="str">
        <f aca="false">IF(X21="","",INDEX(Parametres!$B$4:$B$6,X21))</f>
        <v/>
      </c>
      <c r="Q21" s="22" t="str">
        <f aca="false">IF(Z21="","",INDEX(Parametres!$B$4:$B$6,Z21))</f>
        <v/>
      </c>
      <c r="R21" s="22" t="str">
        <f aca="false">IF(OR(X21="",Z21=""),"",INDEX(Parametres!$B$26:$D$28,X21,Z21))</f>
        <v/>
      </c>
      <c r="S21" s="22" t="str">
        <f aca="false">IF(OR(AA21="",I21=""),"",INDEX(Parametres!$B$18:$B$22,MAX(1,MIN(5,AA21+2-MATCH(I21,Parametres!$B$9:$B$11,0)))))</f>
        <v/>
      </c>
      <c r="T21" s="23" t="str">
        <f aca="false">IF(Z21="","",IF(AND(Z21=3,M21="C"),"Vérifier : activation élevée sans lien géopolitique établi (niveau C)",IF(AND(Z21&gt;=2,M21=""),"Renseigner le niveau de preuve","")))</f>
        <v/>
      </c>
      <c r="U21" s="20"/>
      <c r="V21" s="21"/>
      <c r="W21" s="24" t="str">
        <f aca="false">IF(COUNTA(E21:H21)&lt;4,"",AVERAGE(MATCH(E21,Parametres!$B$4:$B$6,0),MATCH(F21,Parametres!$B$4:$B$6,0),MATCH(G21,Parametres!$B$4:$B$6,0),MATCH(H21,Parametres!$B$4:$B$6,0)))</f>
        <v/>
      </c>
      <c r="X21" s="22" t="str">
        <f aca="false">IF(W21="","",IF(W21&gt;=Parametres!$B$14,3,IF(W21&gt;=Parametres!$B$15,2,1)))</f>
        <v/>
      </c>
      <c r="Y21" s="24" t="str">
        <f aca="false">IF(COUNTA(J21:L21)&lt;3,"",AVERAGE(MATCH(J21,Parametres!$B$4:$B$6,0),MATCH(K21,Parametres!$B$4:$B$6,0),MATCH(L21,Parametres!$B$4:$B$6,0)))</f>
        <v/>
      </c>
      <c r="Z21" s="22" t="str">
        <f aca="false">IF(Y21="","",IF(Y21&gt;=Parametres!$B$14,3,IF(Y21&gt;=Parametres!$B$15,2,1)))</f>
        <v/>
      </c>
      <c r="AA21" s="22" t="str">
        <f aca="false">IF(R21="","",MATCH(R21,Parametres!$B$18:$B$22,0))</f>
        <v/>
      </c>
    </row>
    <row r="22" customFormat="false" ht="30" hidden="false" customHeight="true" outlineLevel="0" collapsed="false">
      <c r="A22" s="20"/>
      <c r="B22" s="21"/>
      <c r="C22" s="21"/>
      <c r="D22" s="21"/>
      <c r="E22" s="20"/>
      <c r="F22" s="20"/>
      <c r="G22" s="20"/>
      <c r="H22" s="20"/>
      <c r="I22" s="20"/>
      <c r="J22" s="20"/>
      <c r="K22" s="20"/>
      <c r="L22" s="20"/>
      <c r="M22" s="20"/>
      <c r="N22" s="21"/>
      <c r="O22" s="20"/>
      <c r="P22" s="22" t="str">
        <f aca="false">IF(X22="","",INDEX(Parametres!$B$4:$B$6,X22))</f>
        <v/>
      </c>
      <c r="Q22" s="22" t="str">
        <f aca="false">IF(Z22="","",INDEX(Parametres!$B$4:$B$6,Z22))</f>
        <v/>
      </c>
      <c r="R22" s="22" t="str">
        <f aca="false">IF(OR(X22="",Z22=""),"",INDEX(Parametres!$B$26:$D$28,X22,Z22))</f>
        <v/>
      </c>
      <c r="S22" s="22" t="str">
        <f aca="false">IF(OR(AA22="",I22=""),"",INDEX(Parametres!$B$18:$B$22,MAX(1,MIN(5,AA22+2-MATCH(I22,Parametres!$B$9:$B$11,0)))))</f>
        <v/>
      </c>
      <c r="T22" s="23" t="str">
        <f aca="false">IF(Z22="","",IF(AND(Z22=3,M22="C"),"Vérifier : activation élevée sans lien géopolitique établi (niveau C)",IF(AND(Z22&gt;=2,M22=""),"Renseigner le niveau de preuve","")))</f>
        <v/>
      </c>
      <c r="U22" s="20"/>
      <c r="V22" s="21"/>
      <c r="W22" s="24" t="str">
        <f aca="false">IF(COUNTA(E22:H22)&lt;4,"",AVERAGE(MATCH(E22,Parametres!$B$4:$B$6,0),MATCH(F22,Parametres!$B$4:$B$6,0),MATCH(G22,Parametres!$B$4:$B$6,0),MATCH(H22,Parametres!$B$4:$B$6,0)))</f>
        <v/>
      </c>
      <c r="X22" s="22" t="str">
        <f aca="false">IF(W22="","",IF(W22&gt;=Parametres!$B$14,3,IF(W22&gt;=Parametres!$B$15,2,1)))</f>
        <v/>
      </c>
      <c r="Y22" s="24" t="str">
        <f aca="false">IF(COUNTA(J22:L22)&lt;3,"",AVERAGE(MATCH(J22,Parametres!$B$4:$B$6,0),MATCH(K22,Parametres!$B$4:$B$6,0),MATCH(L22,Parametres!$B$4:$B$6,0)))</f>
        <v/>
      </c>
      <c r="Z22" s="22" t="str">
        <f aca="false">IF(Y22="","",IF(Y22&gt;=Parametres!$B$14,3,IF(Y22&gt;=Parametres!$B$15,2,1)))</f>
        <v/>
      </c>
      <c r="AA22" s="22" t="str">
        <f aca="false">IF(R22="","",MATCH(R22,Parametres!$B$18:$B$22,0))</f>
        <v/>
      </c>
    </row>
    <row r="23" customFormat="false" ht="30" hidden="false" customHeight="true" outlineLevel="0" collapsed="false">
      <c r="A23" s="20"/>
      <c r="B23" s="21"/>
      <c r="C23" s="21"/>
      <c r="D23" s="21"/>
      <c r="E23" s="20"/>
      <c r="F23" s="20"/>
      <c r="G23" s="20"/>
      <c r="H23" s="20"/>
      <c r="I23" s="20"/>
      <c r="J23" s="20"/>
      <c r="K23" s="20"/>
      <c r="L23" s="20"/>
      <c r="M23" s="20"/>
      <c r="N23" s="21"/>
      <c r="O23" s="20"/>
      <c r="P23" s="22" t="str">
        <f aca="false">IF(X23="","",INDEX(Parametres!$B$4:$B$6,X23))</f>
        <v/>
      </c>
      <c r="Q23" s="22" t="str">
        <f aca="false">IF(Z23="","",INDEX(Parametres!$B$4:$B$6,Z23))</f>
        <v/>
      </c>
      <c r="R23" s="22" t="str">
        <f aca="false">IF(OR(X23="",Z23=""),"",INDEX(Parametres!$B$26:$D$28,X23,Z23))</f>
        <v/>
      </c>
      <c r="S23" s="22" t="str">
        <f aca="false">IF(OR(AA23="",I23=""),"",INDEX(Parametres!$B$18:$B$22,MAX(1,MIN(5,AA23+2-MATCH(I23,Parametres!$B$9:$B$11,0)))))</f>
        <v/>
      </c>
      <c r="T23" s="23" t="str">
        <f aca="false">IF(Z23="","",IF(AND(Z23=3,M23="C"),"Vérifier : activation élevée sans lien géopolitique établi (niveau C)",IF(AND(Z23&gt;=2,M23=""),"Renseigner le niveau de preuve","")))</f>
        <v/>
      </c>
      <c r="U23" s="20"/>
      <c r="V23" s="21"/>
      <c r="W23" s="24" t="str">
        <f aca="false">IF(COUNTA(E23:H23)&lt;4,"",AVERAGE(MATCH(E23,Parametres!$B$4:$B$6,0),MATCH(F23,Parametres!$B$4:$B$6,0),MATCH(G23,Parametres!$B$4:$B$6,0),MATCH(H23,Parametres!$B$4:$B$6,0)))</f>
        <v/>
      </c>
      <c r="X23" s="22" t="str">
        <f aca="false">IF(W23="","",IF(W23&gt;=Parametres!$B$14,3,IF(W23&gt;=Parametres!$B$15,2,1)))</f>
        <v/>
      </c>
      <c r="Y23" s="24" t="str">
        <f aca="false">IF(COUNTA(J23:L23)&lt;3,"",AVERAGE(MATCH(J23,Parametres!$B$4:$B$6,0),MATCH(K23,Parametres!$B$4:$B$6,0),MATCH(L23,Parametres!$B$4:$B$6,0)))</f>
        <v/>
      </c>
      <c r="Z23" s="22" t="str">
        <f aca="false">IF(Y23="","",IF(Y23&gt;=Parametres!$B$14,3,IF(Y23&gt;=Parametres!$B$15,2,1)))</f>
        <v/>
      </c>
      <c r="AA23" s="22" t="str">
        <f aca="false">IF(R23="","",MATCH(R23,Parametres!$B$18:$B$22,0))</f>
        <v/>
      </c>
    </row>
    <row r="24" customFormat="false" ht="30" hidden="false" customHeight="true" outlineLevel="0" collapsed="false">
      <c r="A24" s="20"/>
      <c r="B24" s="21"/>
      <c r="C24" s="21"/>
      <c r="D24" s="21"/>
      <c r="E24" s="20"/>
      <c r="F24" s="20"/>
      <c r="G24" s="20"/>
      <c r="H24" s="20"/>
      <c r="I24" s="20"/>
      <c r="J24" s="20"/>
      <c r="K24" s="20"/>
      <c r="L24" s="20"/>
      <c r="M24" s="20"/>
      <c r="N24" s="21"/>
      <c r="O24" s="20"/>
      <c r="P24" s="22" t="str">
        <f aca="false">IF(X24="","",INDEX(Parametres!$B$4:$B$6,X24))</f>
        <v/>
      </c>
      <c r="Q24" s="22" t="str">
        <f aca="false">IF(Z24="","",INDEX(Parametres!$B$4:$B$6,Z24))</f>
        <v/>
      </c>
      <c r="R24" s="22" t="str">
        <f aca="false">IF(OR(X24="",Z24=""),"",INDEX(Parametres!$B$26:$D$28,X24,Z24))</f>
        <v/>
      </c>
      <c r="S24" s="22" t="str">
        <f aca="false">IF(OR(AA24="",I24=""),"",INDEX(Parametres!$B$18:$B$22,MAX(1,MIN(5,AA24+2-MATCH(I24,Parametres!$B$9:$B$11,0)))))</f>
        <v/>
      </c>
      <c r="T24" s="23" t="str">
        <f aca="false">IF(Z24="","",IF(AND(Z24=3,M24="C"),"Vérifier : activation élevée sans lien géopolitique établi (niveau C)",IF(AND(Z24&gt;=2,M24=""),"Renseigner le niveau de preuve","")))</f>
        <v/>
      </c>
      <c r="U24" s="20"/>
      <c r="V24" s="21"/>
      <c r="W24" s="24" t="str">
        <f aca="false">IF(COUNTA(E24:H24)&lt;4,"",AVERAGE(MATCH(E24,Parametres!$B$4:$B$6,0),MATCH(F24,Parametres!$B$4:$B$6,0),MATCH(G24,Parametres!$B$4:$B$6,0),MATCH(H24,Parametres!$B$4:$B$6,0)))</f>
        <v/>
      </c>
      <c r="X24" s="22" t="str">
        <f aca="false">IF(W24="","",IF(W24&gt;=Parametres!$B$14,3,IF(W24&gt;=Parametres!$B$15,2,1)))</f>
        <v/>
      </c>
      <c r="Y24" s="24" t="str">
        <f aca="false">IF(COUNTA(J24:L24)&lt;3,"",AVERAGE(MATCH(J24,Parametres!$B$4:$B$6,0),MATCH(K24,Parametres!$B$4:$B$6,0),MATCH(L24,Parametres!$B$4:$B$6,0)))</f>
        <v/>
      </c>
      <c r="Z24" s="22" t="str">
        <f aca="false">IF(Y24="","",IF(Y24&gt;=Parametres!$B$14,3,IF(Y24&gt;=Parametres!$B$15,2,1)))</f>
        <v/>
      </c>
      <c r="AA24" s="22" t="str">
        <f aca="false">IF(R24="","",MATCH(R24,Parametres!$B$18:$B$22,0))</f>
        <v/>
      </c>
    </row>
    <row r="25" customFormat="false" ht="30" hidden="false" customHeight="true" outlineLevel="0" collapsed="false">
      <c r="A25" s="20"/>
      <c r="B25" s="21"/>
      <c r="C25" s="21"/>
      <c r="D25" s="21"/>
      <c r="E25" s="20"/>
      <c r="F25" s="20"/>
      <c r="G25" s="20"/>
      <c r="H25" s="20"/>
      <c r="I25" s="20"/>
      <c r="J25" s="20"/>
      <c r="K25" s="20"/>
      <c r="L25" s="20"/>
      <c r="M25" s="20"/>
      <c r="N25" s="21"/>
      <c r="O25" s="20"/>
      <c r="P25" s="22" t="str">
        <f aca="false">IF(X25="","",INDEX(Parametres!$B$4:$B$6,X25))</f>
        <v/>
      </c>
      <c r="Q25" s="22" t="str">
        <f aca="false">IF(Z25="","",INDEX(Parametres!$B$4:$B$6,Z25))</f>
        <v/>
      </c>
      <c r="R25" s="22" t="str">
        <f aca="false">IF(OR(X25="",Z25=""),"",INDEX(Parametres!$B$26:$D$28,X25,Z25))</f>
        <v/>
      </c>
      <c r="S25" s="22" t="str">
        <f aca="false">IF(OR(AA25="",I25=""),"",INDEX(Parametres!$B$18:$B$22,MAX(1,MIN(5,AA25+2-MATCH(I25,Parametres!$B$9:$B$11,0)))))</f>
        <v/>
      </c>
      <c r="T25" s="23" t="str">
        <f aca="false">IF(Z25="","",IF(AND(Z25=3,M25="C"),"Vérifier : activation élevée sans lien géopolitique établi (niveau C)",IF(AND(Z25&gt;=2,M25=""),"Renseigner le niveau de preuve","")))</f>
        <v/>
      </c>
      <c r="U25" s="20"/>
      <c r="V25" s="21"/>
      <c r="W25" s="24" t="str">
        <f aca="false">IF(COUNTA(E25:H25)&lt;4,"",AVERAGE(MATCH(E25,Parametres!$B$4:$B$6,0),MATCH(F25,Parametres!$B$4:$B$6,0),MATCH(G25,Parametres!$B$4:$B$6,0),MATCH(H25,Parametres!$B$4:$B$6,0)))</f>
        <v/>
      </c>
      <c r="X25" s="22" t="str">
        <f aca="false">IF(W25="","",IF(W25&gt;=Parametres!$B$14,3,IF(W25&gt;=Parametres!$B$15,2,1)))</f>
        <v/>
      </c>
      <c r="Y25" s="24" t="str">
        <f aca="false">IF(COUNTA(J25:L25)&lt;3,"",AVERAGE(MATCH(J25,Parametres!$B$4:$B$6,0),MATCH(K25,Parametres!$B$4:$B$6,0),MATCH(L25,Parametres!$B$4:$B$6,0)))</f>
        <v/>
      </c>
      <c r="Z25" s="22" t="str">
        <f aca="false">IF(Y25="","",IF(Y25&gt;=Parametres!$B$14,3,IF(Y25&gt;=Parametres!$B$15,2,1)))</f>
        <v/>
      </c>
      <c r="AA25" s="22" t="str">
        <f aca="false">IF(R25="","",MATCH(R25,Parametres!$B$18:$B$22,0))</f>
        <v/>
      </c>
    </row>
    <row r="26" customFormat="false" ht="30" hidden="false" customHeight="true" outlineLevel="0" collapsed="false">
      <c r="A26" s="20"/>
      <c r="B26" s="21"/>
      <c r="C26" s="21"/>
      <c r="D26" s="21"/>
      <c r="E26" s="20"/>
      <c r="F26" s="20"/>
      <c r="G26" s="20"/>
      <c r="H26" s="20"/>
      <c r="I26" s="20"/>
      <c r="J26" s="20"/>
      <c r="K26" s="20"/>
      <c r="L26" s="20"/>
      <c r="M26" s="20"/>
      <c r="N26" s="21"/>
      <c r="O26" s="20"/>
      <c r="P26" s="22" t="str">
        <f aca="false">IF(X26="","",INDEX(Parametres!$B$4:$B$6,X26))</f>
        <v/>
      </c>
      <c r="Q26" s="22" t="str">
        <f aca="false">IF(Z26="","",INDEX(Parametres!$B$4:$B$6,Z26))</f>
        <v/>
      </c>
      <c r="R26" s="22" t="str">
        <f aca="false">IF(OR(X26="",Z26=""),"",INDEX(Parametres!$B$26:$D$28,X26,Z26))</f>
        <v/>
      </c>
      <c r="S26" s="22" t="str">
        <f aca="false">IF(OR(AA26="",I26=""),"",INDEX(Parametres!$B$18:$B$22,MAX(1,MIN(5,AA26+2-MATCH(I26,Parametres!$B$9:$B$11,0)))))</f>
        <v/>
      </c>
      <c r="T26" s="23" t="str">
        <f aca="false">IF(Z26="","",IF(AND(Z26=3,M26="C"),"Vérifier : activation élevée sans lien géopolitique établi (niveau C)",IF(AND(Z26&gt;=2,M26=""),"Renseigner le niveau de preuve","")))</f>
        <v/>
      </c>
      <c r="U26" s="20"/>
      <c r="V26" s="21"/>
      <c r="W26" s="24" t="str">
        <f aca="false">IF(COUNTA(E26:H26)&lt;4,"",AVERAGE(MATCH(E26,Parametres!$B$4:$B$6,0),MATCH(F26,Parametres!$B$4:$B$6,0),MATCH(G26,Parametres!$B$4:$B$6,0),MATCH(H26,Parametres!$B$4:$B$6,0)))</f>
        <v/>
      </c>
      <c r="X26" s="22" t="str">
        <f aca="false">IF(W26="","",IF(W26&gt;=Parametres!$B$14,3,IF(W26&gt;=Parametres!$B$15,2,1)))</f>
        <v/>
      </c>
      <c r="Y26" s="24" t="str">
        <f aca="false">IF(COUNTA(J26:L26)&lt;3,"",AVERAGE(MATCH(J26,Parametres!$B$4:$B$6,0),MATCH(K26,Parametres!$B$4:$B$6,0),MATCH(L26,Parametres!$B$4:$B$6,0)))</f>
        <v/>
      </c>
      <c r="Z26" s="22" t="str">
        <f aca="false">IF(Y26="","",IF(Y26&gt;=Parametres!$B$14,3,IF(Y26&gt;=Parametres!$B$15,2,1)))</f>
        <v/>
      </c>
      <c r="AA26" s="22" t="str">
        <f aca="false">IF(R26="","",MATCH(R26,Parametres!$B$18:$B$22,0))</f>
        <v/>
      </c>
    </row>
    <row r="27" customFormat="false" ht="30" hidden="false" customHeight="true" outlineLevel="0" collapsed="false">
      <c r="A27" s="20"/>
      <c r="B27" s="21"/>
      <c r="C27" s="21"/>
      <c r="D27" s="21"/>
      <c r="E27" s="20"/>
      <c r="F27" s="20"/>
      <c r="G27" s="20"/>
      <c r="H27" s="20"/>
      <c r="I27" s="20"/>
      <c r="J27" s="20"/>
      <c r="K27" s="20"/>
      <c r="L27" s="20"/>
      <c r="M27" s="20"/>
      <c r="N27" s="21"/>
      <c r="O27" s="20"/>
      <c r="P27" s="22" t="str">
        <f aca="false">IF(X27="","",INDEX(Parametres!$B$4:$B$6,X27))</f>
        <v/>
      </c>
      <c r="Q27" s="22" t="str">
        <f aca="false">IF(Z27="","",INDEX(Parametres!$B$4:$B$6,Z27))</f>
        <v/>
      </c>
      <c r="R27" s="22" t="str">
        <f aca="false">IF(OR(X27="",Z27=""),"",INDEX(Parametres!$B$26:$D$28,X27,Z27))</f>
        <v/>
      </c>
      <c r="S27" s="22" t="str">
        <f aca="false">IF(OR(AA27="",I27=""),"",INDEX(Parametres!$B$18:$B$22,MAX(1,MIN(5,AA27+2-MATCH(I27,Parametres!$B$9:$B$11,0)))))</f>
        <v/>
      </c>
      <c r="T27" s="23" t="str">
        <f aca="false">IF(Z27="","",IF(AND(Z27=3,M27="C"),"Vérifier : activation élevée sans lien géopolitique établi (niveau C)",IF(AND(Z27&gt;=2,M27=""),"Renseigner le niveau de preuve","")))</f>
        <v/>
      </c>
      <c r="U27" s="20"/>
      <c r="V27" s="21"/>
      <c r="W27" s="24" t="str">
        <f aca="false">IF(COUNTA(E27:H27)&lt;4,"",AVERAGE(MATCH(E27,Parametres!$B$4:$B$6,0),MATCH(F27,Parametres!$B$4:$B$6,0),MATCH(G27,Parametres!$B$4:$B$6,0),MATCH(H27,Parametres!$B$4:$B$6,0)))</f>
        <v/>
      </c>
      <c r="X27" s="22" t="str">
        <f aca="false">IF(W27="","",IF(W27&gt;=Parametres!$B$14,3,IF(W27&gt;=Parametres!$B$15,2,1)))</f>
        <v/>
      </c>
      <c r="Y27" s="24" t="str">
        <f aca="false">IF(COUNTA(J27:L27)&lt;3,"",AVERAGE(MATCH(J27,Parametres!$B$4:$B$6,0),MATCH(K27,Parametres!$B$4:$B$6,0),MATCH(L27,Parametres!$B$4:$B$6,0)))</f>
        <v/>
      </c>
      <c r="Z27" s="22" t="str">
        <f aca="false">IF(Y27="","",IF(Y27&gt;=Parametres!$B$14,3,IF(Y27&gt;=Parametres!$B$15,2,1)))</f>
        <v/>
      </c>
      <c r="AA27" s="22" t="str">
        <f aca="false">IF(R27="","",MATCH(R27,Parametres!$B$18:$B$22,0))</f>
        <v/>
      </c>
    </row>
    <row r="28" customFormat="false" ht="30" hidden="false" customHeight="true" outlineLevel="0" collapsed="false">
      <c r="A28" s="20"/>
      <c r="B28" s="21"/>
      <c r="C28" s="21"/>
      <c r="D28" s="21"/>
      <c r="E28" s="20"/>
      <c r="F28" s="20"/>
      <c r="G28" s="20"/>
      <c r="H28" s="20"/>
      <c r="I28" s="20"/>
      <c r="J28" s="20"/>
      <c r="K28" s="20"/>
      <c r="L28" s="20"/>
      <c r="M28" s="20"/>
      <c r="N28" s="21"/>
      <c r="O28" s="20"/>
      <c r="P28" s="22" t="str">
        <f aca="false">IF(X28="","",INDEX(Parametres!$B$4:$B$6,X28))</f>
        <v/>
      </c>
      <c r="Q28" s="22" t="str">
        <f aca="false">IF(Z28="","",INDEX(Parametres!$B$4:$B$6,Z28))</f>
        <v/>
      </c>
      <c r="R28" s="22" t="str">
        <f aca="false">IF(OR(X28="",Z28=""),"",INDEX(Parametres!$B$26:$D$28,X28,Z28))</f>
        <v/>
      </c>
      <c r="S28" s="22" t="str">
        <f aca="false">IF(OR(AA28="",I28=""),"",INDEX(Parametres!$B$18:$B$22,MAX(1,MIN(5,AA28+2-MATCH(I28,Parametres!$B$9:$B$11,0)))))</f>
        <v/>
      </c>
      <c r="T28" s="23" t="str">
        <f aca="false">IF(Z28="","",IF(AND(Z28=3,M28="C"),"Vérifier : activation élevée sans lien géopolitique établi (niveau C)",IF(AND(Z28&gt;=2,M28=""),"Renseigner le niveau de preuve","")))</f>
        <v/>
      </c>
      <c r="U28" s="20"/>
      <c r="V28" s="21"/>
      <c r="W28" s="24" t="str">
        <f aca="false">IF(COUNTA(E28:H28)&lt;4,"",AVERAGE(MATCH(E28,Parametres!$B$4:$B$6,0),MATCH(F28,Parametres!$B$4:$B$6,0),MATCH(G28,Parametres!$B$4:$B$6,0),MATCH(H28,Parametres!$B$4:$B$6,0)))</f>
        <v/>
      </c>
      <c r="X28" s="22" t="str">
        <f aca="false">IF(W28="","",IF(W28&gt;=Parametres!$B$14,3,IF(W28&gt;=Parametres!$B$15,2,1)))</f>
        <v/>
      </c>
      <c r="Y28" s="24" t="str">
        <f aca="false">IF(COUNTA(J28:L28)&lt;3,"",AVERAGE(MATCH(J28,Parametres!$B$4:$B$6,0),MATCH(K28,Parametres!$B$4:$B$6,0),MATCH(L28,Parametres!$B$4:$B$6,0)))</f>
        <v/>
      </c>
      <c r="Z28" s="22" t="str">
        <f aca="false">IF(Y28="","",IF(Y28&gt;=Parametres!$B$14,3,IF(Y28&gt;=Parametres!$B$15,2,1)))</f>
        <v/>
      </c>
      <c r="AA28" s="22" t="str">
        <f aca="false">IF(R28="","",MATCH(R28,Parametres!$B$18:$B$22,0))</f>
        <v/>
      </c>
    </row>
    <row r="29" customFormat="false" ht="30" hidden="false" customHeight="true" outlineLevel="0" collapsed="false">
      <c r="A29" s="20"/>
      <c r="B29" s="21"/>
      <c r="C29" s="21"/>
      <c r="D29" s="21"/>
      <c r="E29" s="20"/>
      <c r="F29" s="20"/>
      <c r="G29" s="20"/>
      <c r="H29" s="20"/>
      <c r="I29" s="20"/>
      <c r="J29" s="20"/>
      <c r="K29" s="20"/>
      <c r="L29" s="20"/>
      <c r="M29" s="20"/>
      <c r="N29" s="21"/>
      <c r="O29" s="20"/>
      <c r="P29" s="22" t="str">
        <f aca="false">IF(X29="","",INDEX(Parametres!$B$4:$B$6,X29))</f>
        <v/>
      </c>
      <c r="Q29" s="22" t="str">
        <f aca="false">IF(Z29="","",INDEX(Parametres!$B$4:$B$6,Z29))</f>
        <v/>
      </c>
      <c r="R29" s="22" t="str">
        <f aca="false">IF(OR(X29="",Z29=""),"",INDEX(Parametres!$B$26:$D$28,X29,Z29))</f>
        <v/>
      </c>
      <c r="S29" s="22" t="str">
        <f aca="false">IF(OR(AA29="",I29=""),"",INDEX(Parametres!$B$18:$B$22,MAX(1,MIN(5,AA29+2-MATCH(I29,Parametres!$B$9:$B$11,0)))))</f>
        <v/>
      </c>
      <c r="T29" s="23" t="str">
        <f aca="false">IF(Z29="","",IF(AND(Z29=3,M29="C"),"Vérifier : activation élevée sans lien géopolitique établi (niveau C)",IF(AND(Z29&gt;=2,M29=""),"Renseigner le niveau de preuve","")))</f>
        <v/>
      </c>
      <c r="U29" s="20"/>
      <c r="V29" s="21"/>
      <c r="W29" s="24" t="str">
        <f aca="false">IF(COUNTA(E29:H29)&lt;4,"",AVERAGE(MATCH(E29,Parametres!$B$4:$B$6,0),MATCH(F29,Parametres!$B$4:$B$6,0),MATCH(G29,Parametres!$B$4:$B$6,0),MATCH(H29,Parametres!$B$4:$B$6,0)))</f>
        <v/>
      </c>
      <c r="X29" s="22" t="str">
        <f aca="false">IF(W29="","",IF(W29&gt;=Parametres!$B$14,3,IF(W29&gt;=Parametres!$B$15,2,1)))</f>
        <v/>
      </c>
      <c r="Y29" s="24" t="str">
        <f aca="false">IF(COUNTA(J29:L29)&lt;3,"",AVERAGE(MATCH(J29,Parametres!$B$4:$B$6,0),MATCH(K29,Parametres!$B$4:$B$6,0),MATCH(L29,Parametres!$B$4:$B$6,0)))</f>
        <v/>
      </c>
      <c r="Z29" s="22" t="str">
        <f aca="false">IF(Y29="","",IF(Y29&gt;=Parametres!$B$14,3,IF(Y29&gt;=Parametres!$B$15,2,1)))</f>
        <v/>
      </c>
      <c r="AA29" s="22" t="str">
        <f aca="false">IF(R29="","",MATCH(R29,Parametres!$B$18:$B$22,0))</f>
        <v/>
      </c>
    </row>
    <row r="30" customFormat="false" ht="30" hidden="false" customHeight="true" outlineLevel="0" collapsed="false">
      <c r="A30" s="20"/>
      <c r="B30" s="21"/>
      <c r="C30" s="21"/>
      <c r="D30" s="21"/>
      <c r="E30" s="20"/>
      <c r="F30" s="20"/>
      <c r="G30" s="20"/>
      <c r="H30" s="20"/>
      <c r="I30" s="20"/>
      <c r="J30" s="20"/>
      <c r="K30" s="20"/>
      <c r="L30" s="20"/>
      <c r="M30" s="20"/>
      <c r="N30" s="21"/>
      <c r="O30" s="20"/>
      <c r="P30" s="22" t="str">
        <f aca="false">IF(X30="","",INDEX(Parametres!$B$4:$B$6,X30))</f>
        <v/>
      </c>
      <c r="Q30" s="22" t="str">
        <f aca="false">IF(Z30="","",INDEX(Parametres!$B$4:$B$6,Z30))</f>
        <v/>
      </c>
      <c r="R30" s="22" t="str">
        <f aca="false">IF(OR(X30="",Z30=""),"",INDEX(Parametres!$B$26:$D$28,X30,Z30))</f>
        <v/>
      </c>
      <c r="S30" s="22" t="str">
        <f aca="false">IF(OR(AA30="",I30=""),"",INDEX(Parametres!$B$18:$B$22,MAX(1,MIN(5,AA30+2-MATCH(I30,Parametres!$B$9:$B$11,0)))))</f>
        <v/>
      </c>
      <c r="T30" s="23" t="str">
        <f aca="false">IF(Z30="","",IF(AND(Z30=3,M30="C"),"Vérifier : activation élevée sans lien géopolitique établi (niveau C)",IF(AND(Z30&gt;=2,M30=""),"Renseigner le niveau de preuve","")))</f>
        <v/>
      </c>
      <c r="U30" s="20"/>
      <c r="V30" s="21"/>
      <c r="W30" s="24" t="str">
        <f aca="false">IF(COUNTA(E30:H30)&lt;4,"",AVERAGE(MATCH(E30,Parametres!$B$4:$B$6,0),MATCH(F30,Parametres!$B$4:$B$6,0),MATCH(G30,Parametres!$B$4:$B$6,0),MATCH(H30,Parametres!$B$4:$B$6,0)))</f>
        <v/>
      </c>
      <c r="X30" s="22" t="str">
        <f aca="false">IF(W30="","",IF(W30&gt;=Parametres!$B$14,3,IF(W30&gt;=Parametres!$B$15,2,1)))</f>
        <v/>
      </c>
      <c r="Y30" s="24" t="str">
        <f aca="false">IF(COUNTA(J30:L30)&lt;3,"",AVERAGE(MATCH(J30,Parametres!$B$4:$B$6,0),MATCH(K30,Parametres!$B$4:$B$6,0),MATCH(L30,Parametres!$B$4:$B$6,0)))</f>
        <v/>
      </c>
      <c r="Z30" s="22" t="str">
        <f aca="false">IF(Y30="","",IF(Y30&gt;=Parametres!$B$14,3,IF(Y30&gt;=Parametres!$B$15,2,1)))</f>
        <v/>
      </c>
      <c r="AA30" s="22" t="str">
        <f aca="false">IF(R30="","",MATCH(R30,Parametres!$B$18:$B$22,0))</f>
        <v/>
      </c>
    </row>
    <row r="31" customFormat="false" ht="30" hidden="false" customHeight="true" outlineLevel="0" collapsed="false">
      <c r="A31" s="20"/>
      <c r="B31" s="21"/>
      <c r="C31" s="21"/>
      <c r="D31" s="21"/>
      <c r="E31" s="20"/>
      <c r="F31" s="20"/>
      <c r="G31" s="20"/>
      <c r="H31" s="20"/>
      <c r="I31" s="20"/>
      <c r="J31" s="20"/>
      <c r="K31" s="20"/>
      <c r="L31" s="20"/>
      <c r="M31" s="20"/>
      <c r="N31" s="21"/>
      <c r="O31" s="20"/>
      <c r="P31" s="22" t="str">
        <f aca="false">IF(X31="","",INDEX(Parametres!$B$4:$B$6,X31))</f>
        <v/>
      </c>
      <c r="Q31" s="22" t="str">
        <f aca="false">IF(Z31="","",INDEX(Parametres!$B$4:$B$6,Z31))</f>
        <v/>
      </c>
      <c r="R31" s="22" t="str">
        <f aca="false">IF(OR(X31="",Z31=""),"",INDEX(Parametres!$B$26:$D$28,X31,Z31))</f>
        <v/>
      </c>
      <c r="S31" s="22" t="str">
        <f aca="false">IF(OR(AA31="",I31=""),"",INDEX(Parametres!$B$18:$B$22,MAX(1,MIN(5,AA31+2-MATCH(I31,Parametres!$B$9:$B$11,0)))))</f>
        <v/>
      </c>
      <c r="T31" s="23" t="str">
        <f aca="false">IF(Z31="","",IF(AND(Z31=3,M31="C"),"Vérifier : activation élevée sans lien géopolitique établi (niveau C)",IF(AND(Z31&gt;=2,M31=""),"Renseigner le niveau de preuve","")))</f>
        <v/>
      </c>
      <c r="U31" s="20"/>
      <c r="V31" s="21"/>
      <c r="W31" s="24" t="str">
        <f aca="false">IF(COUNTA(E31:H31)&lt;4,"",AVERAGE(MATCH(E31,Parametres!$B$4:$B$6,0),MATCH(F31,Parametres!$B$4:$B$6,0),MATCH(G31,Parametres!$B$4:$B$6,0),MATCH(H31,Parametres!$B$4:$B$6,0)))</f>
        <v/>
      </c>
      <c r="X31" s="22" t="str">
        <f aca="false">IF(W31="","",IF(W31&gt;=Parametres!$B$14,3,IF(W31&gt;=Parametres!$B$15,2,1)))</f>
        <v/>
      </c>
      <c r="Y31" s="24" t="str">
        <f aca="false">IF(COUNTA(J31:L31)&lt;3,"",AVERAGE(MATCH(J31,Parametres!$B$4:$B$6,0),MATCH(K31,Parametres!$B$4:$B$6,0),MATCH(L31,Parametres!$B$4:$B$6,0)))</f>
        <v/>
      </c>
      <c r="Z31" s="22" t="str">
        <f aca="false">IF(Y31="","",IF(Y31&gt;=Parametres!$B$14,3,IF(Y31&gt;=Parametres!$B$15,2,1)))</f>
        <v/>
      </c>
      <c r="AA31" s="22" t="str">
        <f aca="false">IF(R31="","",MATCH(R31,Parametres!$B$18:$B$22,0))</f>
        <v/>
      </c>
    </row>
    <row r="32" customFormat="false" ht="30" hidden="false" customHeight="true" outlineLevel="0" collapsed="false">
      <c r="A32" s="20"/>
      <c r="B32" s="21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1"/>
      <c r="O32" s="20"/>
      <c r="P32" s="22" t="str">
        <f aca="false">IF(X32="","",INDEX(Parametres!$B$4:$B$6,X32))</f>
        <v/>
      </c>
      <c r="Q32" s="22" t="str">
        <f aca="false">IF(Z32="","",INDEX(Parametres!$B$4:$B$6,Z32))</f>
        <v/>
      </c>
      <c r="R32" s="22" t="str">
        <f aca="false">IF(OR(X32="",Z32=""),"",INDEX(Parametres!$B$26:$D$28,X32,Z32))</f>
        <v/>
      </c>
      <c r="S32" s="22" t="str">
        <f aca="false">IF(OR(AA32="",I32=""),"",INDEX(Parametres!$B$18:$B$22,MAX(1,MIN(5,AA32+2-MATCH(I32,Parametres!$B$9:$B$11,0)))))</f>
        <v/>
      </c>
      <c r="T32" s="23" t="str">
        <f aca="false">IF(Z32="","",IF(AND(Z32=3,M32="C"),"Vérifier : activation élevée sans lien géopolitique établi (niveau C)",IF(AND(Z32&gt;=2,M32=""),"Renseigner le niveau de preuve","")))</f>
        <v/>
      </c>
      <c r="U32" s="20"/>
      <c r="V32" s="21"/>
      <c r="W32" s="24" t="str">
        <f aca="false">IF(COUNTA(E32:H32)&lt;4,"",AVERAGE(MATCH(E32,Parametres!$B$4:$B$6,0),MATCH(F32,Parametres!$B$4:$B$6,0),MATCH(G32,Parametres!$B$4:$B$6,0),MATCH(H32,Parametres!$B$4:$B$6,0)))</f>
        <v/>
      </c>
      <c r="X32" s="22" t="str">
        <f aca="false">IF(W32="","",IF(W32&gt;=Parametres!$B$14,3,IF(W32&gt;=Parametres!$B$15,2,1)))</f>
        <v/>
      </c>
      <c r="Y32" s="24" t="str">
        <f aca="false">IF(COUNTA(J32:L32)&lt;3,"",AVERAGE(MATCH(J32,Parametres!$B$4:$B$6,0),MATCH(K32,Parametres!$B$4:$B$6,0),MATCH(L32,Parametres!$B$4:$B$6,0)))</f>
        <v/>
      </c>
      <c r="Z32" s="22" t="str">
        <f aca="false">IF(Y32="","",IF(Y32&gt;=Parametres!$B$14,3,IF(Y32&gt;=Parametres!$B$15,2,1)))</f>
        <v/>
      </c>
      <c r="AA32" s="22" t="str">
        <f aca="false">IF(R32="","",MATCH(R32,Parametres!$B$18:$B$22,0))</f>
        <v/>
      </c>
    </row>
    <row r="33" customFormat="false" ht="30" hidden="false" customHeight="true" outlineLevel="0" collapsed="false">
      <c r="A33" s="20"/>
      <c r="B33" s="21"/>
      <c r="C33" s="21"/>
      <c r="D33" s="21"/>
      <c r="E33" s="20"/>
      <c r="F33" s="20"/>
      <c r="G33" s="20"/>
      <c r="H33" s="20"/>
      <c r="I33" s="20"/>
      <c r="J33" s="20"/>
      <c r="K33" s="20"/>
      <c r="L33" s="20"/>
      <c r="M33" s="20"/>
      <c r="N33" s="21"/>
      <c r="O33" s="20"/>
      <c r="P33" s="22" t="str">
        <f aca="false">IF(X33="","",INDEX(Parametres!$B$4:$B$6,X33))</f>
        <v/>
      </c>
      <c r="Q33" s="22" t="str">
        <f aca="false">IF(Z33="","",INDEX(Parametres!$B$4:$B$6,Z33))</f>
        <v/>
      </c>
      <c r="R33" s="22" t="str">
        <f aca="false">IF(OR(X33="",Z33=""),"",INDEX(Parametres!$B$26:$D$28,X33,Z33))</f>
        <v/>
      </c>
      <c r="S33" s="22" t="str">
        <f aca="false">IF(OR(AA33="",I33=""),"",INDEX(Parametres!$B$18:$B$22,MAX(1,MIN(5,AA33+2-MATCH(I33,Parametres!$B$9:$B$11,0)))))</f>
        <v/>
      </c>
      <c r="T33" s="23" t="str">
        <f aca="false">IF(Z33="","",IF(AND(Z33=3,M33="C"),"Vérifier : activation élevée sans lien géopolitique établi (niveau C)",IF(AND(Z33&gt;=2,M33=""),"Renseigner le niveau de preuve","")))</f>
        <v/>
      </c>
      <c r="U33" s="20"/>
      <c r="V33" s="21"/>
      <c r="W33" s="24" t="str">
        <f aca="false">IF(COUNTA(E33:H33)&lt;4,"",AVERAGE(MATCH(E33,Parametres!$B$4:$B$6,0),MATCH(F33,Parametres!$B$4:$B$6,0),MATCH(G33,Parametres!$B$4:$B$6,0),MATCH(H33,Parametres!$B$4:$B$6,0)))</f>
        <v/>
      </c>
      <c r="X33" s="22" t="str">
        <f aca="false">IF(W33="","",IF(W33&gt;=Parametres!$B$14,3,IF(W33&gt;=Parametres!$B$15,2,1)))</f>
        <v/>
      </c>
      <c r="Y33" s="24" t="str">
        <f aca="false">IF(COUNTA(J33:L33)&lt;3,"",AVERAGE(MATCH(J33,Parametres!$B$4:$B$6,0),MATCH(K33,Parametres!$B$4:$B$6,0),MATCH(L33,Parametres!$B$4:$B$6,0)))</f>
        <v/>
      </c>
      <c r="Z33" s="22" t="str">
        <f aca="false">IF(Y33="","",IF(Y33&gt;=Parametres!$B$14,3,IF(Y33&gt;=Parametres!$B$15,2,1)))</f>
        <v/>
      </c>
      <c r="AA33" s="22" t="str">
        <f aca="false">IF(R33="","",MATCH(R33,Parametres!$B$18:$B$22,0))</f>
        <v/>
      </c>
    </row>
    <row r="34" customFormat="false" ht="30" hidden="false" customHeight="true" outlineLevel="0" collapsed="false">
      <c r="A34" s="20"/>
      <c r="B34" s="21"/>
      <c r="C34" s="21"/>
      <c r="D34" s="21"/>
      <c r="E34" s="20"/>
      <c r="F34" s="20"/>
      <c r="G34" s="20"/>
      <c r="H34" s="20"/>
      <c r="I34" s="20"/>
      <c r="J34" s="20"/>
      <c r="K34" s="20"/>
      <c r="L34" s="20"/>
      <c r="M34" s="20"/>
      <c r="N34" s="21"/>
      <c r="O34" s="20"/>
      <c r="P34" s="22" t="str">
        <f aca="false">IF(X34="","",INDEX(Parametres!$B$4:$B$6,X34))</f>
        <v/>
      </c>
      <c r="Q34" s="22" t="str">
        <f aca="false">IF(Z34="","",INDEX(Parametres!$B$4:$B$6,Z34))</f>
        <v/>
      </c>
      <c r="R34" s="22" t="str">
        <f aca="false">IF(OR(X34="",Z34=""),"",INDEX(Parametres!$B$26:$D$28,X34,Z34))</f>
        <v/>
      </c>
      <c r="S34" s="22" t="str">
        <f aca="false">IF(OR(AA34="",I34=""),"",INDEX(Parametres!$B$18:$B$22,MAX(1,MIN(5,AA34+2-MATCH(I34,Parametres!$B$9:$B$11,0)))))</f>
        <v/>
      </c>
      <c r="T34" s="23" t="str">
        <f aca="false">IF(Z34="","",IF(AND(Z34=3,M34="C"),"Vérifier : activation élevée sans lien géopolitique établi (niveau C)",IF(AND(Z34&gt;=2,M34=""),"Renseigner le niveau de preuve","")))</f>
        <v/>
      </c>
      <c r="U34" s="20"/>
      <c r="V34" s="21"/>
      <c r="W34" s="24" t="str">
        <f aca="false">IF(COUNTA(E34:H34)&lt;4,"",AVERAGE(MATCH(E34,Parametres!$B$4:$B$6,0),MATCH(F34,Parametres!$B$4:$B$6,0),MATCH(G34,Parametres!$B$4:$B$6,0),MATCH(H34,Parametres!$B$4:$B$6,0)))</f>
        <v/>
      </c>
      <c r="X34" s="22" t="str">
        <f aca="false">IF(W34="","",IF(W34&gt;=Parametres!$B$14,3,IF(W34&gt;=Parametres!$B$15,2,1)))</f>
        <v/>
      </c>
      <c r="Y34" s="24" t="str">
        <f aca="false">IF(COUNTA(J34:L34)&lt;3,"",AVERAGE(MATCH(J34,Parametres!$B$4:$B$6,0),MATCH(K34,Parametres!$B$4:$B$6,0),MATCH(L34,Parametres!$B$4:$B$6,0)))</f>
        <v/>
      </c>
      <c r="Z34" s="22" t="str">
        <f aca="false">IF(Y34="","",IF(Y34&gt;=Parametres!$B$14,3,IF(Y34&gt;=Parametres!$B$15,2,1)))</f>
        <v/>
      </c>
      <c r="AA34" s="22" t="str">
        <f aca="false">IF(R34="","",MATCH(R34,Parametres!$B$18:$B$22,0))</f>
        <v/>
      </c>
    </row>
    <row r="35" customFormat="false" ht="30" hidden="false" customHeight="true" outlineLevel="0" collapsed="false">
      <c r="A35" s="20"/>
      <c r="B35" s="21"/>
      <c r="C35" s="21"/>
      <c r="D35" s="21"/>
      <c r="E35" s="20"/>
      <c r="F35" s="20"/>
      <c r="G35" s="20"/>
      <c r="H35" s="20"/>
      <c r="I35" s="20"/>
      <c r="J35" s="20"/>
      <c r="K35" s="20"/>
      <c r="L35" s="20"/>
      <c r="M35" s="20"/>
      <c r="N35" s="21"/>
      <c r="O35" s="20"/>
      <c r="P35" s="22" t="str">
        <f aca="false">IF(X35="","",INDEX(Parametres!$B$4:$B$6,X35))</f>
        <v/>
      </c>
      <c r="Q35" s="22" t="str">
        <f aca="false">IF(Z35="","",INDEX(Parametres!$B$4:$B$6,Z35))</f>
        <v/>
      </c>
      <c r="R35" s="22" t="str">
        <f aca="false">IF(OR(X35="",Z35=""),"",INDEX(Parametres!$B$26:$D$28,X35,Z35))</f>
        <v/>
      </c>
      <c r="S35" s="22" t="str">
        <f aca="false">IF(OR(AA35="",I35=""),"",INDEX(Parametres!$B$18:$B$22,MAX(1,MIN(5,AA35+2-MATCH(I35,Parametres!$B$9:$B$11,0)))))</f>
        <v/>
      </c>
      <c r="T35" s="23" t="str">
        <f aca="false">IF(Z35="","",IF(AND(Z35=3,M35="C"),"Vérifier : activation élevée sans lien géopolitique établi (niveau C)",IF(AND(Z35&gt;=2,M35=""),"Renseigner le niveau de preuve","")))</f>
        <v/>
      </c>
      <c r="U35" s="20"/>
      <c r="V35" s="21"/>
      <c r="W35" s="24" t="str">
        <f aca="false">IF(COUNTA(E35:H35)&lt;4,"",AVERAGE(MATCH(E35,Parametres!$B$4:$B$6,0),MATCH(F35,Parametres!$B$4:$B$6,0),MATCH(G35,Parametres!$B$4:$B$6,0),MATCH(H35,Parametres!$B$4:$B$6,0)))</f>
        <v/>
      </c>
      <c r="X35" s="22" t="str">
        <f aca="false">IF(W35="","",IF(W35&gt;=Parametres!$B$14,3,IF(W35&gt;=Parametres!$B$15,2,1)))</f>
        <v/>
      </c>
      <c r="Y35" s="24" t="str">
        <f aca="false">IF(COUNTA(J35:L35)&lt;3,"",AVERAGE(MATCH(J35,Parametres!$B$4:$B$6,0),MATCH(K35,Parametres!$B$4:$B$6,0),MATCH(L35,Parametres!$B$4:$B$6,0)))</f>
        <v/>
      </c>
      <c r="Z35" s="22" t="str">
        <f aca="false">IF(Y35="","",IF(Y35&gt;=Parametres!$B$14,3,IF(Y35&gt;=Parametres!$B$15,2,1)))</f>
        <v/>
      </c>
      <c r="AA35" s="22" t="str">
        <f aca="false">IF(R35="","",MATCH(R35,Parametres!$B$18:$B$22,0))</f>
        <v/>
      </c>
    </row>
    <row r="36" customFormat="false" ht="30" hidden="false" customHeight="true" outlineLevel="0" collapsed="false">
      <c r="A36" s="20"/>
      <c r="B36" s="21"/>
      <c r="C36" s="21"/>
      <c r="D36" s="21"/>
      <c r="E36" s="20"/>
      <c r="F36" s="20"/>
      <c r="G36" s="20"/>
      <c r="H36" s="20"/>
      <c r="I36" s="20"/>
      <c r="J36" s="20"/>
      <c r="K36" s="20"/>
      <c r="L36" s="20"/>
      <c r="M36" s="20"/>
      <c r="N36" s="21"/>
      <c r="O36" s="20"/>
      <c r="P36" s="22" t="str">
        <f aca="false">IF(X36="","",INDEX(Parametres!$B$4:$B$6,X36))</f>
        <v/>
      </c>
      <c r="Q36" s="22" t="str">
        <f aca="false">IF(Z36="","",INDEX(Parametres!$B$4:$B$6,Z36))</f>
        <v/>
      </c>
      <c r="R36" s="22" t="str">
        <f aca="false">IF(OR(X36="",Z36=""),"",INDEX(Parametres!$B$26:$D$28,X36,Z36))</f>
        <v/>
      </c>
      <c r="S36" s="22" t="str">
        <f aca="false">IF(OR(AA36="",I36=""),"",INDEX(Parametres!$B$18:$B$22,MAX(1,MIN(5,AA36+2-MATCH(I36,Parametres!$B$9:$B$11,0)))))</f>
        <v/>
      </c>
      <c r="T36" s="23" t="str">
        <f aca="false">IF(Z36="","",IF(AND(Z36=3,M36="C"),"Vérifier : activation élevée sans lien géopolitique établi (niveau C)",IF(AND(Z36&gt;=2,M36=""),"Renseigner le niveau de preuve","")))</f>
        <v/>
      </c>
      <c r="U36" s="20"/>
      <c r="V36" s="21"/>
      <c r="W36" s="24" t="str">
        <f aca="false">IF(COUNTA(E36:H36)&lt;4,"",AVERAGE(MATCH(E36,Parametres!$B$4:$B$6,0),MATCH(F36,Parametres!$B$4:$B$6,0),MATCH(G36,Parametres!$B$4:$B$6,0),MATCH(H36,Parametres!$B$4:$B$6,0)))</f>
        <v/>
      </c>
      <c r="X36" s="22" t="str">
        <f aca="false">IF(W36="","",IF(W36&gt;=Parametres!$B$14,3,IF(W36&gt;=Parametres!$B$15,2,1)))</f>
        <v/>
      </c>
      <c r="Y36" s="24" t="str">
        <f aca="false">IF(COUNTA(J36:L36)&lt;3,"",AVERAGE(MATCH(J36,Parametres!$B$4:$B$6,0),MATCH(K36,Parametres!$B$4:$B$6,0),MATCH(L36,Parametres!$B$4:$B$6,0)))</f>
        <v/>
      </c>
      <c r="Z36" s="22" t="str">
        <f aca="false">IF(Y36="","",IF(Y36&gt;=Parametres!$B$14,3,IF(Y36&gt;=Parametres!$B$15,2,1)))</f>
        <v/>
      </c>
      <c r="AA36" s="22" t="str">
        <f aca="false">IF(R36="","",MATCH(R36,Parametres!$B$18:$B$22,0))</f>
        <v/>
      </c>
    </row>
    <row r="37" customFormat="false" ht="30" hidden="false" customHeight="true" outlineLevel="0" collapsed="false">
      <c r="A37" s="20"/>
      <c r="B37" s="21"/>
      <c r="C37" s="21"/>
      <c r="D37" s="21"/>
      <c r="E37" s="20"/>
      <c r="F37" s="20"/>
      <c r="G37" s="20"/>
      <c r="H37" s="20"/>
      <c r="I37" s="20"/>
      <c r="J37" s="20"/>
      <c r="K37" s="20"/>
      <c r="L37" s="20"/>
      <c r="M37" s="20"/>
      <c r="N37" s="21"/>
      <c r="O37" s="20"/>
      <c r="P37" s="22" t="str">
        <f aca="false">IF(X37="","",INDEX(Parametres!$B$4:$B$6,X37))</f>
        <v/>
      </c>
      <c r="Q37" s="22" t="str">
        <f aca="false">IF(Z37="","",INDEX(Parametres!$B$4:$B$6,Z37))</f>
        <v/>
      </c>
      <c r="R37" s="22" t="str">
        <f aca="false">IF(OR(X37="",Z37=""),"",INDEX(Parametres!$B$26:$D$28,X37,Z37))</f>
        <v/>
      </c>
      <c r="S37" s="22" t="str">
        <f aca="false">IF(OR(AA37="",I37=""),"",INDEX(Parametres!$B$18:$B$22,MAX(1,MIN(5,AA37+2-MATCH(I37,Parametres!$B$9:$B$11,0)))))</f>
        <v/>
      </c>
      <c r="T37" s="23" t="str">
        <f aca="false">IF(Z37="","",IF(AND(Z37=3,M37="C"),"Vérifier : activation élevée sans lien géopolitique établi (niveau C)",IF(AND(Z37&gt;=2,M37=""),"Renseigner le niveau de preuve","")))</f>
        <v/>
      </c>
      <c r="U37" s="20"/>
      <c r="V37" s="21"/>
      <c r="W37" s="24" t="str">
        <f aca="false">IF(COUNTA(E37:H37)&lt;4,"",AVERAGE(MATCH(E37,Parametres!$B$4:$B$6,0),MATCH(F37,Parametres!$B$4:$B$6,0),MATCH(G37,Parametres!$B$4:$B$6,0),MATCH(H37,Parametres!$B$4:$B$6,0)))</f>
        <v/>
      </c>
      <c r="X37" s="22" t="str">
        <f aca="false">IF(W37="","",IF(W37&gt;=Parametres!$B$14,3,IF(W37&gt;=Parametres!$B$15,2,1)))</f>
        <v/>
      </c>
      <c r="Y37" s="24" t="str">
        <f aca="false">IF(COUNTA(J37:L37)&lt;3,"",AVERAGE(MATCH(J37,Parametres!$B$4:$B$6,0),MATCH(K37,Parametres!$B$4:$B$6,0),MATCH(L37,Parametres!$B$4:$B$6,0)))</f>
        <v/>
      </c>
      <c r="Z37" s="22" t="str">
        <f aca="false">IF(Y37="","",IF(Y37&gt;=Parametres!$B$14,3,IF(Y37&gt;=Parametres!$B$15,2,1)))</f>
        <v/>
      </c>
      <c r="AA37" s="22" t="str">
        <f aca="false">IF(R37="","",MATCH(R37,Parametres!$B$18:$B$22,0))</f>
        <v/>
      </c>
    </row>
    <row r="38" customFormat="false" ht="30" hidden="false" customHeight="true" outlineLevel="0" collapsed="false">
      <c r="A38" s="20"/>
      <c r="B38" s="21"/>
      <c r="C38" s="21"/>
      <c r="D38" s="21"/>
      <c r="E38" s="20"/>
      <c r="F38" s="20"/>
      <c r="G38" s="20"/>
      <c r="H38" s="20"/>
      <c r="I38" s="20"/>
      <c r="J38" s="20"/>
      <c r="K38" s="20"/>
      <c r="L38" s="20"/>
      <c r="M38" s="20"/>
      <c r="N38" s="21"/>
      <c r="O38" s="20"/>
      <c r="P38" s="22" t="str">
        <f aca="false">IF(X38="","",INDEX(Parametres!$B$4:$B$6,X38))</f>
        <v/>
      </c>
      <c r="Q38" s="22" t="str">
        <f aca="false">IF(Z38="","",INDEX(Parametres!$B$4:$B$6,Z38))</f>
        <v/>
      </c>
      <c r="R38" s="22" t="str">
        <f aca="false">IF(OR(X38="",Z38=""),"",INDEX(Parametres!$B$26:$D$28,X38,Z38))</f>
        <v/>
      </c>
      <c r="S38" s="22" t="str">
        <f aca="false">IF(OR(AA38="",I38=""),"",INDEX(Parametres!$B$18:$B$22,MAX(1,MIN(5,AA38+2-MATCH(I38,Parametres!$B$9:$B$11,0)))))</f>
        <v/>
      </c>
      <c r="T38" s="23" t="str">
        <f aca="false">IF(Z38="","",IF(AND(Z38=3,M38="C"),"Vérifier : activation élevée sans lien géopolitique établi (niveau C)",IF(AND(Z38&gt;=2,M38=""),"Renseigner le niveau de preuve","")))</f>
        <v/>
      </c>
      <c r="U38" s="20"/>
      <c r="V38" s="21"/>
      <c r="W38" s="24" t="str">
        <f aca="false">IF(COUNTA(E38:H38)&lt;4,"",AVERAGE(MATCH(E38,Parametres!$B$4:$B$6,0),MATCH(F38,Parametres!$B$4:$B$6,0),MATCH(G38,Parametres!$B$4:$B$6,0),MATCH(H38,Parametres!$B$4:$B$6,0)))</f>
        <v/>
      </c>
      <c r="X38" s="22" t="str">
        <f aca="false">IF(W38="","",IF(W38&gt;=Parametres!$B$14,3,IF(W38&gt;=Parametres!$B$15,2,1)))</f>
        <v/>
      </c>
      <c r="Y38" s="24" t="str">
        <f aca="false">IF(COUNTA(J38:L38)&lt;3,"",AVERAGE(MATCH(J38,Parametres!$B$4:$B$6,0),MATCH(K38,Parametres!$B$4:$B$6,0),MATCH(L38,Parametres!$B$4:$B$6,0)))</f>
        <v/>
      </c>
      <c r="Z38" s="22" t="str">
        <f aca="false">IF(Y38="","",IF(Y38&gt;=Parametres!$B$14,3,IF(Y38&gt;=Parametres!$B$15,2,1)))</f>
        <v/>
      </c>
      <c r="AA38" s="22" t="str">
        <f aca="false">IF(R38="","",MATCH(R38,Parametres!$B$18:$B$22,0))</f>
        <v/>
      </c>
    </row>
    <row r="39" customFormat="false" ht="30" hidden="false" customHeight="true" outlineLevel="0" collapsed="false">
      <c r="A39" s="20"/>
      <c r="B39" s="21"/>
      <c r="C39" s="21"/>
      <c r="D39" s="21"/>
      <c r="E39" s="20"/>
      <c r="F39" s="20"/>
      <c r="G39" s="20"/>
      <c r="H39" s="20"/>
      <c r="I39" s="20"/>
      <c r="J39" s="20"/>
      <c r="K39" s="20"/>
      <c r="L39" s="20"/>
      <c r="M39" s="20"/>
      <c r="N39" s="21"/>
      <c r="O39" s="20"/>
      <c r="P39" s="22" t="str">
        <f aca="false">IF(X39="","",INDEX(Parametres!$B$4:$B$6,X39))</f>
        <v/>
      </c>
      <c r="Q39" s="22" t="str">
        <f aca="false">IF(Z39="","",INDEX(Parametres!$B$4:$B$6,Z39))</f>
        <v/>
      </c>
      <c r="R39" s="22" t="str">
        <f aca="false">IF(OR(X39="",Z39=""),"",INDEX(Parametres!$B$26:$D$28,X39,Z39))</f>
        <v/>
      </c>
      <c r="S39" s="22" t="str">
        <f aca="false">IF(OR(AA39="",I39=""),"",INDEX(Parametres!$B$18:$B$22,MAX(1,MIN(5,AA39+2-MATCH(I39,Parametres!$B$9:$B$11,0)))))</f>
        <v/>
      </c>
      <c r="T39" s="23" t="str">
        <f aca="false">IF(Z39="","",IF(AND(Z39=3,M39="C"),"Vérifier : activation élevée sans lien géopolitique établi (niveau C)",IF(AND(Z39&gt;=2,M39=""),"Renseigner le niveau de preuve","")))</f>
        <v/>
      </c>
      <c r="U39" s="20"/>
      <c r="V39" s="21"/>
      <c r="W39" s="24" t="str">
        <f aca="false">IF(COUNTA(E39:H39)&lt;4,"",AVERAGE(MATCH(E39,Parametres!$B$4:$B$6,0),MATCH(F39,Parametres!$B$4:$B$6,0),MATCH(G39,Parametres!$B$4:$B$6,0),MATCH(H39,Parametres!$B$4:$B$6,0)))</f>
        <v/>
      </c>
      <c r="X39" s="22" t="str">
        <f aca="false">IF(W39="","",IF(W39&gt;=Parametres!$B$14,3,IF(W39&gt;=Parametres!$B$15,2,1)))</f>
        <v/>
      </c>
      <c r="Y39" s="24" t="str">
        <f aca="false">IF(COUNTA(J39:L39)&lt;3,"",AVERAGE(MATCH(J39,Parametres!$B$4:$B$6,0),MATCH(K39,Parametres!$B$4:$B$6,0),MATCH(L39,Parametres!$B$4:$B$6,0)))</f>
        <v/>
      </c>
      <c r="Z39" s="22" t="str">
        <f aca="false">IF(Y39="","",IF(Y39&gt;=Parametres!$B$14,3,IF(Y39&gt;=Parametres!$B$15,2,1)))</f>
        <v/>
      </c>
      <c r="AA39" s="22" t="str">
        <f aca="false">IF(R39="","",MATCH(R39,Parametres!$B$18:$B$22,0))</f>
        <v/>
      </c>
    </row>
    <row r="40" customFormat="false" ht="30" hidden="false" customHeight="true" outlineLevel="0" collapsed="false">
      <c r="A40" s="20"/>
      <c r="B40" s="21"/>
      <c r="C40" s="21"/>
      <c r="D40" s="21"/>
      <c r="E40" s="20"/>
      <c r="F40" s="20"/>
      <c r="G40" s="20"/>
      <c r="H40" s="20"/>
      <c r="I40" s="20"/>
      <c r="J40" s="20"/>
      <c r="K40" s="20"/>
      <c r="L40" s="20"/>
      <c r="M40" s="20"/>
      <c r="N40" s="21"/>
      <c r="O40" s="20"/>
      <c r="P40" s="22" t="str">
        <f aca="false">IF(X40="","",INDEX(Parametres!$B$4:$B$6,X40))</f>
        <v/>
      </c>
      <c r="Q40" s="22" t="str">
        <f aca="false">IF(Z40="","",INDEX(Parametres!$B$4:$B$6,Z40))</f>
        <v/>
      </c>
      <c r="R40" s="22" t="str">
        <f aca="false">IF(OR(X40="",Z40=""),"",INDEX(Parametres!$B$26:$D$28,X40,Z40))</f>
        <v/>
      </c>
      <c r="S40" s="22" t="str">
        <f aca="false">IF(OR(AA40="",I40=""),"",INDEX(Parametres!$B$18:$B$22,MAX(1,MIN(5,AA40+2-MATCH(I40,Parametres!$B$9:$B$11,0)))))</f>
        <v/>
      </c>
      <c r="T40" s="23" t="str">
        <f aca="false">IF(Z40="","",IF(AND(Z40=3,M40="C"),"Vérifier : activation élevée sans lien géopolitique établi (niveau C)",IF(AND(Z40&gt;=2,M40=""),"Renseigner le niveau de preuve","")))</f>
        <v/>
      </c>
      <c r="U40" s="20"/>
      <c r="V40" s="21"/>
      <c r="W40" s="24" t="str">
        <f aca="false">IF(COUNTA(E40:H40)&lt;4,"",AVERAGE(MATCH(E40,Parametres!$B$4:$B$6,0),MATCH(F40,Parametres!$B$4:$B$6,0),MATCH(G40,Parametres!$B$4:$B$6,0),MATCH(H40,Parametres!$B$4:$B$6,0)))</f>
        <v/>
      </c>
      <c r="X40" s="22" t="str">
        <f aca="false">IF(W40="","",IF(W40&gt;=Parametres!$B$14,3,IF(W40&gt;=Parametres!$B$15,2,1)))</f>
        <v/>
      </c>
      <c r="Y40" s="24" t="str">
        <f aca="false">IF(COUNTA(J40:L40)&lt;3,"",AVERAGE(MATCH(J40,Parametres!$B$4:$B$6,0),MATCH(K40,Parametres!$B$4:$B$6,0),MATCH(L40,Parametres!$B$4:$B$6,0)))</f>
        <v/>
      </c>
      <c r="Z40" s="22" t="str">
        <f aca="false">IF(Y40="","",IF(Y40&gt;=Parametres!$B$14,3,IF(Y40&gt;=Parametres!$B$15,2,1)))</f>
        <v/>
      </c>
      <c r="AA40" s="22" t="str">
        <f aca="false">IF(R40="","",MATCH(R40,Parametres!$B$18:$B$22,0))</f>
        <v/>
      </c>
    </row>
    <row r="41" customFormat="false" ht="30" hidden="false" customHeight="true" outlineLevel="0" collapsed="false">
      <c r="A41" s="20"/>
      <c r="B41" s="21"/>
      <c r="C41" s="21"/>
      <c r="D41" s="21"/>
      <c r="E41" s="20"/>
      <c r="F41" s="20"/>
      <c r="G41" s="20"/>
      <c r="H41" s="20"/>
      <c r="I41" s="20"/>
      <c r="J41" s="20"/>
      <c r="K41" s="20"/>
      <c r="L41" s="20"/>
      <c r="M41" s="20"/>
      <c r="N41" s="21"/>
      <c r="O41" s="20"/>
      <c r="P41" s="22" t="str">
        <f aca="false">IF(X41="","",INDEX(Parametres!$B$4:$B$6,X41))</f>
        <v/>
      </c>
      <c r="Q41" s="22" t="str">
        <f aca="false">IF(Z41="","",INDEX(Parametres!$B$4:$B$6,Z41))</f>
        <v/>
      </c>
      <c r="R41" s="22" t="str">
        <f aca="false">IF(OR(X41="",Z41=""),"",INDEX(Parametres!$B$26:$D$28,X41,Z41))</f>
        <v/>
      </c>
      <c r="S41" s="22" t="str">
        <f aca="false">IF(OR(AA41="",I41=""),"",INDEX(Parametres!$B$18:$B$22,MAX(1,MIN(5,AA41+2-MATCH(I41,Parametres!$B$9:$B$11,0)))))</f>
        <v/>
      </c>
      <c r="T41" s="23" t="str">
        <f aca="false">IF(Z41="","",IF(AND(Z41=3,M41="C"),"Vérifier : activation élevée sans lien géopolitique établi (niveau C)",IF(AND(Z41&gt;=2,M41=""),"Renseigner le niveau de preuve","")))</f>
        <v/>
      </c>
      <c r="U41" s="20"/>
      <c r="V41" s="21"/>
      <c r="W41" s="24" t="str">
        <f aca="false">IF(COUNTA(E41:H41)&lt;4,"",AVERAGE(MATCH(E41,Parametres!$B$4:$B$6,0),MATCH(F41,Parametres!$B$4:$B$6,0),MATCH(G41,Parametres!$B$4:$B$6,0),MATCH(H41,Parametres!$B$4:$B$6,0)))</f>
        <v/>
      </c>
      <c r="X41" s="22" t="str">
        <f aca="false">IF(W41="","",IF(W41&gt;=Parametres!$B$14,3,IF(W41&gt;=Parametres!$B$15,2,1)))</f>
        <v/>
      </c>
      <c r="Y41" s="24" t="str">
        <f aca="false">IF(COUNTA(J41:L41)&lt;3,"",AVERAGE(MATCH(J41,Parametres!$B$4:$B$6,0),MATCH(K41,Parametres!$B$4:$B$6,0),MATCH(L41,Parametres!$B$4:$B$6,0)))</f>
        <v/>
      </c>
      <c r="Z41" s="22" t="str">
        <f aca="false">IF(Y41="","",IF(Y41&gt;=Parametres!$B$14,3,IF(Y41&gt;=Parametres!$B$15,2,1)))</f>
        <v/>
      </c>
      <c r="AA41" s="22" t="str">
        <f aca="false">IF(R41="","",MATCH(R41,Parametres!$B$18:$B$22,0))</f>
        <v/>
      </c>
    </row>
    <row r="42" customFormat="false" ht="30" hidden="false" customHeight="true" outlineLevel="0" collapsed="false">
      <c r="A42" s="20"/>
      <c r="B42" s="21"/>
      <c r="C42" s="21"/>
      <c r="D42" s="21"/>
      <c r="E42" s="20"/>
      <c r="F42" s="20"/>
      <c r="G42" s="20"/>
      <c r="H42" s="20"/>
      <c r="I42" s="20"/>
      <c r="J42" s="20"/>
      <c r="K42" s="20"/>
      <c r="L42" s="20"/>
      <c r="M42" s="20"/>
      <c r="N42" s="21"/>
      <c r="O42" s="20"/>
      <c r="P42" s="22" t="str">
        <f aca="false">IF(X42="","",INDEX(Parametres!$B$4:$B$6,X42))</f>
        <v/>
      </c>
      <c r="Q42" s="22" t="str">
        <f aca="false">IF(Z42="","",INDEX(Parametres!$B$4:$B$6,Z42))</f>
        <v/>
      </c>
      <c r="R42" s="22" t="str">
        <f aca="false">IF(OR(X42="",Z42=""),"",INDEX(Parametres!$B$26:$D$28,X42,Z42))</f>
        <v/>
      </c>
      <c r="S42" s="22" t="str">
        <f aca="false">IF(OR(AA42="",I42=""),"",INDEX(Parametres!$B$18:$B$22,MAX(1,MIN(5,AA42+2-MATCH(I42,Parametres!$B$9:$B$11,0)))))</f>
        <v/>
      </c>
      <c r="T42" s="23" t="str">
        <f aca="false">IF(Z42="","",IF(AND(Z42=3,M42="C"),"Vérifier : activation élevée sans lien géopolitique établi (niveau C)",IF(AND(Z42&gt;=2,M42=""),"Renseigner le niveau de preuve","")))</f>
        <v/>
      </c>
      <c r="U42" s="20"/>
      <c r="V42" s="21"/>
      <c r="W42" s="24" t="str">
        <f aca="false">IF(COUNTA(E42:H42)&lt;4,"",AVERAGE(MATCH(E42,Parametres!$B$4:$B$6,0),MATCH(F42,Parametres!$B$4:$B$6,0),MATCH(G42,Parametres!$B$4:$B$6,0),MATCH(H42,Parametres!$B$4:$B$6,0)))</f>
        <v/>
      </c>
      <c r="X42" s="22" t="str">
        <f aca="false">IF(W42="","",IF(W42&gt;=Parametres!$B$14,3,IF(W42&gt;=Parametres!$B$15,2,1)))</f>
        <v/>
      </c>
      <c r="Y42" s="24" t="str">
        <f aca="false">IF(COUNTA(J42:L42)&lt;3,"",AVERAGE(MATCH(J42,Parametres!$B$4:$B$6,0),MATCH(K42,Parametres!$B$4:$B$6,0),MATCH(L42,Parametres!$B$4:$B$6,0)))</f>
        <v/>
      </c>
      <c r="Z42" s="22" t="str">
        <f aca="false">IF(Y42="","",IF(Y42&gt;=Parametres!$B$14,3,IF(Y42&gt;=Parametres!$B$15,2,1)))</f>
        <v/>
      </c>
      <c r="AA42" s="22" t="str">
        <f aca="false">IF(R42="","",MATCH(R42,Parametres!$B$18:$B$22,0))</f>
        <v/>
      </c>
    </row>
    <row r="43" customFormat="false" ht="30" hidden="false" customHeight="true" outlineLevel="0" collapsed="false">
      <c r="A43" s="20"/>
      <c r="B43" s="21"/>
      <c r="C43" s="21"/>
      <c r="D43" s="21"/>
      <c r="E43" s="20"/>
      <c r="F43" s="20"/>
      <c r="G43" s="20"/>
      <c r="H43" s="20"/>
      <c r="I43" s="20"/>
      <c r="J43" s="20"/>
      <c r="K43" s="20"/>
      <c r="L43" s="20"/>
      <c r="M43" s="20"/>
      <c r="N43" s="21"/>
      <c r="O43" s="20"/>
      <c r="P43" s="22" t="str">
        <f aca="false">IF(X43="","",INDEX(Parametres!$B$4:$B$6,X43))</f>
        <v/>
      </c>
      <c r="Q43" s="22" t="str">
        <f aca="false">IF(Z43="","",INDEX(Parametres!$B$4:$B$6,Z43))</f>
        <v/>
      </c>
      <c r="R43" s="22" t="str">
        <f aca="false">IF(OR(X43="",Z43=""),"",INDEX(Parametres!$B$26:$D$28,X43,Z43))</f>
        <v/>
      </c>
      <c r="S43" s="22" t="str">
        <f aca="false">IF(OR(AA43="",I43=""),"",INDEX(Parametres!$B$18:$B$22,MAX(1,MIN(5,AA43+2-MATCH(I43,Parametres!$B$9:$B$11,0)))))</f>
        <v/>
      </c>
      <c r="T43" s="23" t="str">
        <f aca="false">IF(Z43="","",IF(AND(Z43=3,M43="C"),"Vérifier : activation élevée sans lien géopolitique établi (niveau C)",IF(AND(Z43&gt;=2,M43=""),"Renseigner le niveau de preuve","")))</f>
        <v/>
      </c>
      <c r="U43" s="20"/>
      <c r="V43" s="21"/>
      <c r="W43" s="24" t="str">
        <f aca="false">IF(COUNTA(E43:H43)&lt;4,"",AVERAGE(MATCH(E43,Parametres!$B$4:$B$6,0),MATCH(F43,Parametres!$B$4:$B$6,0),MATCH(G43,Parametres!$B$4:$B$6,0),MATCH(H43,Parametres!$B$4:$B$6,0)))</f>
        <v/>
      </c>
      <c r="X43" s="22" t="str">
        <f aca="false">IF(W43="","",IF(W43&gt;=Parametres!$B$14,3,IF(W43&gt;=Parametres!$B$15,2,1)))</f>
        <v/>
      </c>
      <c r="Y43" s="24" t="str">
        <f aca="false">IF(COUNTA(J43:L43)&lt;3,"",AVERAGE(MATCH(J43,Parametres!$B$4:$B$6,0),MATCH(K43,Parametres!$B$4:$B$6,0),MATCH(L43,Parametres!$B$4:$B$6,0)))</f>
        <v/>
      </c>
      <c r="Z43" s="22" t="str">
        <f aca="false">IF(Y43="","",IF(Y43&gt;=Parametres!$B$14,3,IF(Y43&gt;=Parametres!$B$15,2,1)))</f>
        <v/>
      </c>
      <c r="AA43" s="22" t="str">
        <f aca="false">IF(R43="","",MATCH(R43,Parametres!$B$18:$B$22,0))</f>
        <v/>
      </c>
    </row>
    <row r="44" customFormat="false" ht="30" hidden="false" customHeight="true" outlineLevel="0" collapsed="false">
      <c r="A44" s="20"/>
      <c r="B44" s="21"/>
      <c r="C44" s="21"/>
      <c r="D44" s="21"/>
      <c r="E44" s="20"/>
      <c r="F44" s="20"/>
      <c r="G44" s="20"/>
      <c r="H44" s="20"/>
      <c r="I44" s="20"/>
      <c r="J44" s="20"/>
      <c r="K44" s="20"/>
      <c r="L44" s="20"/>
      <c r="M44" s="20"/>
      <c r="N44" s="21"/>
      <c r="O44" s="20"/>
      <c r="P44" s="22" t="str">
        <f aca="false">IF(X44="","",INDEX(Parametres!$B$4:$B$6,X44))</f>
        <v/>
      </c>
      <c r="Q44" s="22" t="str">
        <f aca="false">IF(Z44="","",INDEX(Parametres!$B$4:$B$6,Z44))</f>
        <v/>
      </c>
      <c r="R44" s="22" t="str">
        <f aca="false">IF(OR(X44="",Z44=""),"",INDEX(Parametres!$B$26:$D$28,X44,Z44))</f>
        <v/>
      </c>
      <c r="S44" s="22" t="str">
        <f aca="false">IF(OR(AA44="",I44=""),"",INDEX(Parametres!$B$18:$B$22,MAX(1,MIN(5,AA44+2-MATCH(I44,Parametres!$B$9:$B$11,0)))))</f>
        <v/>
      </c>
      <c r="T44" s="23" t="str">
        <f aca="false">IF(Z44="","",IF(AND(Z44=3,M44="C"),"Vérifier : activation élevée sans lien géopolitique établi (niveau C)",IF(AND(Z44&gt;=2,M44=""),"Renseigner le niveau de preuve","")))</f>
        <v/>
      </c>
      <c r="U44" s="20"/>
      <c r="V44" s="21"/>
      <c r="W44" s="24" t="str">
        <f aca="false">IF(COUNTA(E44:H44)&lt;4,"",AVERAGE(MATCH(E44,Parametres!$B$4:$B$6,0),MATCH(F44,Parametres!$B$4:$B$6,0),MATCH(G44,Parametres!$B$4:$B$6,0),MATCH(H44,Parametres!$B$4:$B$6,0)))</f>
        <v/>
      </c>
      <c r="X44" s="22" t="str">
        <f aca="false">IF(W44="","",IF(W44&gt;=Parametres!$B$14,3,IF(W44&gt;=Parametres!$B$15,2,1)))</f>
        <v/>
      </c>
      <c r="Y44" s="24" t="str">
        <f aca="false">IF(COUNTA(J44:L44)&lt;3,"",AVERAGE(MATCH(J44,Parametres!$B$4:$B$6,0),MATCH(K44,Parametres!$B$4:$B$6,0),MATCH(L44,Parametres!$B$4:$B$6,0)))</f>
        <v/>
      </c>
      <c r="Z44" s="22" t="str">
        <f aca="false">IF(Y44="","",IF(Y44&gt;=Parametres!$B$14,3,IF(Y44&gt;=Parametres!$B$15,2,1)))</f>
        <v/>
      </c>
      <c r="AA44" s="22" t="str">
        <f aca="false">IF(R44="","",MATCH(R44,Parametres!$B$18:$B$22,0))</f>
        <v/>
      </c>
    </row>
    <row r="45" customFormat="false" ht="30" hidden="false" customHeight="true" outlineLevel="0" collapsed="false">
      <c r="A45" s="20"/>
      <c r="B45" s="21"/>
      <c r="C45" s="21"/>
      <c r="D45" s="21"/>
      <c r="E45" s="20"/>
      <c r="F45" s="20"/>
      <c r="G45" s="20"/>
      <c r="H45" s="20"/>
      <c r="I45" s="20"/>
      <c r="J45" s="20"/>
      <c r="K45" s="20"/>
      <c r="L45" s="20"/>
      <c r="M45" s="20"/>
      <c r="N45" s="21"/>
      <c r="O45" s="20"/>
      <c r="P45" s="22" t="str">
        <f aca="false">IF(X45="","",INDEX(Parametres!$B$4:$B$6,X45))</f>
        <v/>
      </c>
      <c r="Q45" s="22" t="str">
        <f aca="false">IF(Z45="","",INDEX(Parametres!$B$4:$B$6,Z45))</f>
        <v/>
      </c>
      <c r="R45" s="22" t="str">
        <f aca="false">IF(OR(X45="",Z45=""),"",INDEX(Parametres!$B$26:$D$28,X45,Z45))</f>
        <v/>
      </c>
      <c r="S45" s="22" t="str">
        <f aca="false">IF(OR(AA45="",I45=""),"",INDEX(Parametres!$B$18:$B$22,MAX(1,MIN(5,AA45+2-MATCH(I45,Parametres!$B$9:$B$11,0)))))</f>
        <v/>
      </c>
      <c r="T45" s="23" t="str">
        <f aca="false">IF(Z45="","",IF(AND(Z45=3,M45="C"),"Vérifier : activation élevée sans lien géopolitique établi (niveau C)",IF(AND(Z45&gt;=2,M45=""),"Renseigner le niveau de preuve","")))</f>
        <v/>
      </c>
      <c r="U45" s="20"/>
      <c r="V45" s="21"/>
      <c r="W45" s="24" t="str">
        <f aca="false">IF(COUNTA(E45:H45)&lt;4,"",AVERAGE(MATCH(E45,Parametres!$B$4:$B$6,0),MATCH(F45,Parametres!$B$4:$B$6,0),MATCH(G45,Parametres!$B$4:$B$6,0),MATCH(H45,Parametres!$B$4:$B$6,0)))</f>
        <v/>
      </c>
      <c r="X45" s="22" t="str">
        <f aca="false">IF(W45="","",IF(W45&gt;=Parametres!$B$14,3,IF(W45&gt;=Parametres!$B$15,2,1)))</f>
        <v/>
      </c>
      <c r="Y45" s="24" t="str">
        <f aca="false">IF(COUNTA(J45:L45)&lt;3,"",AVERAGE(MATCH(J45,Parametres!$B$4:$B$6,0),MATCH(K45,Parametres!$B$4:$B$6,0),MATCH(L45,Parametres!$B$4:$B$6,0)))</f>
        <v/>
      </c>
      <c r="Z45" s="22" t="str">
        <f aca="false">IF(Y45="","",IF(Y45&gt;=Parametres!$B$14,3,IF(Y45&gt;=Parametres!$B$15,2,1)))</f>
        <v/>
      </c>
      <c r="AA45" s="22" t="str">
        <f aca="false">IF(R45="","",MATCH(R45,Parametres!$B$18:$B$22,0))</f>
        <v/>
      </c>
    </row>
  </sheetData>
  <mergeCells count="6">
    <mergeCell ref="A4:D4"/>
    <mergeCell ref="E4:I4"/>
    <mergeCell ref="J4:O4"/>
    <mergeCell ref="P4:T4"/>
    <mergeCell ref="U4:V4"/>
    <mergeCell ref="W4:AA4"/>
  </mergeCells>
  <conditionalFormatting sqref="R6:R45">
    <cfRule type="expression" priority="2" aboveAverage="0" equalAverage="0" bottom="0" percent="0" rank="0" text="" dxfId="0">
      <formula>$R6="Accepter"</formula>
    </cfRule>
    <cfRule type="expression" priority="3" aboveAverage="0" equalAverage="0" bottom="0" percent="0" rank="0" text="" dxfId="1">
      <formula>$R6="Accepter et suivre"</formula>
    </cfRule>
    <cfRule type="expression" priority="4" aboveAverage="0" equalAverage="0" bottom="0" percent="0" rank="0" text="" dxfId="2">
      <formula>$R6="Surveiller"</formula>
    </cfRule>
    <cfRule type="expression" priority="5" aboveAverage="0" equalAverage="0" bottom="0" percent="0" rank="0" text="" dxfId="3">
      <formula>$R6="Traiter"</formula>
    </cfRule>
    <cfRule type="expression" priority="6" aboveAverage="0" equalAverage="0" bottom="0" percent="0" rank="0" text="" dxfId="4">
      <formula>$R6="Traiter en priorité"</formula>
    </cfRule>
  </conditionalFormatting>
  <conditionalFormatting sqref="S6:S45">
    <cfRule type="expression" priority="7" aboveAverage="0" equalAverage="0" bottom="0" percent="0" rank="0" text="" dxfId="0">
      <formula>$S6="Accepter"</formula>
    </cfRule>
    <cfRule type="expression" priority="8" aboveAverage="0" equalAverage="0" bottom="0" percent="0" rank="0" text="" dxfId="1">
      <formula>$S6="Accepter et suivre"</formula>
    </cfRule>
    <cfRule type="expression" priority="9" aboveAverage="0" equalAverage="0" bottom="0" percent="0" rank="0" text="" dxfId="2">
      <formula>$S6="Surveiller"</formula>
    </cfRule>
    <cfRule type="expression" priority="10" aboveAverage="0" equalAverage="0" bottom="0" percent="0" rank="0" text="" dxfId="3">
      <formula>$S6="Traiter"</formula>
    </cfRule>
    <cfRule type="expression" priority="11" aboveAverage="0" equalAverage="0" bottom="0" percent="0" rank="0" text="" dxfId="4">
      <formula>$S6="Traiter en priorité"</formula>
    </cfRule>
  </conditionalFormatting>
  <conditionalFormatting sqref="T6:T45">
    <cfRule type="expression" priority="12" aboveAverage="0" equalAverage="0" bottom="0" percent="0" rank="0" text="" dxfId="5">
      <formula>LEN($T6)&gt;0</formula>
    </cfRule>
  </conditionalFormatting>
  <dataValidations count="5">
    <dataValidation allowBlank="true" errorStyle="stop" operator="between" showDropDown="false" showErrorMessage="true" showInputMessage="false" sqref="C6:C45" type="list">
      <formula1>Parametres!$B$38:$B$42</formula1>
      <formula2>0</formula2>
    </dataValidation>
    <dataValidation allowBlank="true" errorStyle="stop" operator="between" showDropDown="false" showErrorMessage="true" showInputMessage="false" sqref="E6:H45 J6:L45" type="list">
      <formula1>Parametres!$B$4:$B$6</formula1>
      <formula2>0</formula2>
    </dataValidation>
    <dataValidation allowBlank="true" errorStyle="stop" operator="between" showDropDown="false" showErrorMessage="true" showInputMessage="false" sqref="I6:I45" type="list">
      <formula1>Parametres!$B$9:$B$11</formula1>
      <formula2>0</formula2>
    </dataValidation>
    <dataValidation allowBlank="true" errorStyle="stop" operator="between" showDropDown="false" showErrorMessage="true" showInputMessage="false" sqref="M6:M45" type="list">
      <formula1>Parametres!$A$31:$A$34</formula1>
      <formula2>0</formula2>
    </dataValidation>
    <dataValidation allowBlank="true" errorStyle="stop" operator="between" showDropDown="false" showErrorMessage="true" showInputMessage="false" sqref="U6:U45" type="list">
      <formula1>Parametres!$B$45:$B$48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7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25" t="s">
        <v>133</v>
      </c>
    </row>
    <row r="4" customFormat="false" ht="15" hidden="false" customHeight="false" outlineLevel="0" collapsed="false">
      <c r="A4" s="5" t="s">
        <v>134</v>
      </c>
      <c r="B4" s="5" t="s">
        <v>135</v>
      </c>
    </row>
    <row r="5" customFormat="false" ht="15" hidden="false" customHeight="false" outlineLevel="0" collapsed="false">
      <c r="A5" s="7" t="s">
        <v>136</v>
      </c>
      <c r="B5" s="26" t="n">
        <f aca="false">COUNTIF(Fiche!$S$6:$S$45,A5)</f>
        <v>0</v>
      </c>
    </row>
    <row r="6" customFormat="false" ht="15" hidden="false" customHeight="false" outlineLevel="0" collapsed="false">
      <c r="A6" s="7" t="s">
        <v>137</v>
      </c>
      <c r="B6" s="26" t="n">
        <f aca="false">COUNTIF(Fiche!$S$6:$S$45,A6)</f>
        <v>1</v>
      </c>
    </row>
    <row r="7" customFormat="false" ht="15" hidden="false" customHeight="false" outlineLevel="0" collapsed="false">
      <c r="A7" s="7" t="s">
        <v>138</v>
      </c>
      <c r="B7" s="26" t="n">
        <f aca="false">COUNTIF(Fiche!$S$6:$S$45,A7)</f>
        <v>0</v>
      </c>
    </row>
    <row r="8" customFormat="false" ht="15" hidden="false" customHeight="false" outlineLevel="0" collapsed="false">
      <c r="A8" s="7" t="s">
        <v>139</v>
      </c>
      <c r="B8" s="26" t="n">
        <f aca="false">COUNTIF(Fiche!$S$6:$S$45,A8)</f>
        <v>0</v>
      </c>
    </row>
    <row r="9" customFormat="false" ht="15" hidden="false" customHeight="false" outlineLevel="0" collapsed="false">
      <c r="A9" s="7" t="s">
        <v>140</v>
      </c>
      <c r="B9" s="26" t="n">
        <f aca="false">COUNTIF(Fiche!$S$6:$S$45,A9)</f>
        <v>0</v>
      </c>
    </row>
    <row r="10" customFormat="false" ht="15" hidden="false" customHeight="false" outlineLevel="0" collapsed="false">
      <c r="A10" s="7" t="s">
        <v>141</v>
      </c>
      <c r="B10" s="27" t="n">
        <f aca="false">SUM(B5:B9)</f>
        <v>1</v>
      </c>
    </row>
    <row r="12" customFormat="false" ht="15" hidden="false" customHeight="false" outlineLevel="0" collapsed="false">
      <c r="A12" s="25" t="s">
        <v>142</v>
      </c>
    </row>
    <row r="13" customFormat="false" ht="31.5" hidden="false" customHeight="true" outlineLevel="0" collapsed="false">
      <c r="A13" s="5" t="s">
        <v>63</v>
      </c>
      <c r="B13" s="5" t="s">
        <v>136</v>
      </c>
      <c r="C13" s="5" t="s">
        <v>137</v>
      </c>
      <c r="D13" s="5" t="s">
        <v>138</v>
      </c>
      <c r="E13" s="5" t="s">
        <v>139</v>
      </c>
      <c r="F13" s="5" t="s">
        <v>140</v>
      </c>
      <c r="G13" s="5" t="s">
        <v>141</v>
      </c>
    </row>
    <row r="14" customFormat="false" ht="15" hidden="false" customHeight="false" outlineLevel="0" collapsed="false">
      <c r="A14" s="7" t="s">
        <v>67</v>
      </c>
      <c r="B14" s="26" t="n">
        <f aca="false">COUNTIFS(Fiche!$C$6:$C$45,$A14,Fiche!$S$6:$S$45,B$13)</f>
        <v>0</v>
      </c>
      <c r="C14" s="26" t="n">
        <f aca="false">COUNTIFS(Fiche!$C$6:$C$45,$A14,Fiche!$S$6:$S$45,C$13)</f>
        <v>0</v>
      </c>
      <c r="D14" s="26" t="n">
        <f aca="false">COUNTIFS(Fiche!$C$6:$C$45,$A14,Fiche!$S$6:$S$45,D$13)</f>
        <v>0</v>
      </c>
      <c r="E14" s="26" t="n">
        <f aca="false">COUNTIFS(Fiche!$C$6:$C$45,$A14,Fiche!$S$6:$S$45,E$13)</f>
        <v>0</v>
      </c>
      <c r="F14" s="26" t="n">
        <f aca="false">COUNTIFS(Fiche!$C$6:$C$45,$A14,Fiche!$S$6:$S$45,F$13)</f>
        <v>0</v>
      </c>
      <c r="G14" s="27" t="n">
        <f aca="false">SUM(B14:F14)</f>
        <v>0</v>
      </c>
    </row>
    <row r="15" customFormat="false" ht="15" hidden="false" customHeight="false" outlineLevel="0" collapsed="false">
      <c r="A15" s="7" t="s">
        <v>71</v>
      </c>
      <c r="B15" s="26" t="n">
        <f aca="false">COUNTIFS(Fiche!$C$6:$C$45,$A15,Fiche!$S$6:$S$45,B$13)</f>
        <v>0</v>
      </c>
      <c r="C15" s="26" t="n">
        <f aca="false">COUNTIFS(Fiche!$C$6:$C$45,$A15,Fiche!$S$6:$S$45,C$13)</f>
        <v>1</v>
      </c>
      <c r="D15" s="26" t="n">
        <f aca="false">COUNTIFS(Fiche!$C$6:$C$45,$A15,Fiche!$S$6:$S$45,D$13)</f>
        <v>0</v>
      </c>
      <c r="E15" s="26" t="n">
        <f aca="false">COUNTIFS(Fiche!$C$6:$C$45,$A15,Fiche!$S$6:$S$45,E$13)</f>
        <v>0</v>
      </c>
      <c r="F15" s="26" t="n">
        <f aca="false">COUNTIFS(Fiche!$C$6:$C$45,$A15,Fiche!$S$6:$S$45,F$13)</f>
        <v>0</v>
      </c>
      <c r="G15" s="27" t="n">
        <f aca="false">SUM(B15:F15)</f>
        <v>1</v>
      </c>
    </row>
    <row r="16" customFormat="false" ht="15" hidden="false" customHeight="false" outlineLevel="0" collapsed="false">
      <c r="A16" s="7" t="s">
        <v>75</v>
      </c>
      <c r="B16" s="26" t="n">
        <f aca="false">COUNTIFS(Fiche!$C$6:$C$45,$A16,Fiche!$S$6:$S$45,B$13)</f>
        <v>0</v>
      </c>
      <c r="C16" s="26" t="n">
        <f aca="false">COUNTIFS(Fiche!$C$6:$C$45,$A16,Fiche!$S$6:$S$45,C$13)</f>
        <v>0</v>
      </c>
      <c r="D16" s="26" t="n">
        <f aca="false">COUNTIFS(Fiche!$C$6:$C$45,$A16,Fiche!$S$6:$S$45,D$13)</f>
        <v>0</v>
      </c>
      <c r="E16" s="26" t="n">
        <f aca="false">COUNTIFS(Fiche!$C$6:$C$45,$A16,Fiche!$S$6:$S$45,E$13)</f>
        <v>0</v>
      </c>
      <c r="F16" s="26" t="n">
        <f aca="false">COUNTIFS(Fiche!$C$6:$C$45,$A16,Fiche!$S$6:$S$45,F$13)</f>
        <v>0</v>
      </c>
      <c r="G16" s="27" t="n">
        <f aca="false">SUM(B16:F16)</f>
        <v>0</v>
      </c>
    </row>
    <row r="17" customFormat="false" ht="15" hidden="false" customHeight="false" outlineLevel="0" collapsed="false">
      <c r="A17" s="7" t="s">
        <v>79</v>
      </c>
      <c r="B17" s="26" t="n">
        <f aca="false">COUNTIFS(Fiche!$C$6:$C$45,$A17,Fiche!$S$6:$S$45,B$13)</f>
        <v>0</v>
      </c>
      <c r="C17" s="26" t="n">
        <f aca="false">COUNTIFS(Fiche!$C$6:$C$45,$A17,Fiche!$S$6:$S$45,C$13)</f>
        <v>0</v>
      </c>
      <c r="D17" s="26" t="n">
        <f aca="false">COUNTIFS(Fiche!$C$6:$C$45,$A17,Fiche!$S$6:$S$45,D$13)</f>
        <v>0</v>
      </c>
      <c r="E17" s="26" t="n">
        <f aca="false">COUNTIFS(Fiche!$C$6:$C$45,$A17,Fiche!$S$6:$S$45,E$13)</f>
        <v>0</v>
      </c>
      <c r="F17" s="26" t="n">
        <f aca="false">COUNTIFS(Fiche!$C$6:$C$45,$A17,Fiche!$S$6:$S$45,F$13)</f>
        <v>0</v>
      </c>
      <c r="G17" s="27" t="n">
        <f aca="false">SUM(B17:F17)</f>
        <v>0</v>
      </c>
    </row>
    <row r="18" customFormat="false" ht="15" hidden="false" customHeight="false" outlineLevel="0" collapsed="false">
      <c r="A18" s="7" t="s">
        <v>83</v>
      </c>
      <c r="B18" s="26" t="n">
        <f aca="false">COUNTIFS(Fiche!$C$6:$C$45,$A18,Fiche!$S$6:$S$45,B$13)</f>
        <v>0</v>
      </c>
      <c r="C18" s="26" t="n">
        <f aca="false">COUNTIFS(Fiche!$C$6:$C$45,$A18,Fiche!$S$6:$S$45,C$13)</f>
        <v>0</v>
      </c>
      <c r="D18" s="26" t="n">
        <f aca="false">COUNTIFS(Fiche!$C$6:$C$45,$A18,Fiche!$S$6:$S$45,D$13)</f>
        <v>0</v>
      </c>
      <c r="E18" s="26" t="n">
        <f aca="false">COUNTIFS(Fiche!$C$6:$C$45,$A18,Fiche!$S$6:$S$45,E$13)</f>
        <v>0</v>
      </c>
      <c r="F18" s="26" t="n">
        <f aca="false">COUNTIFS(Fiche!$C$6:$C$45,$A18,Fiche!$S$6:$S$45,F$13)</f>
        <v>0</v>
      </c>
      <c r="G18" s="27" t="n">
        <f aca="false">SUM(B18:F18)</f>
        <v>0</v>
      </c>
    </row>
    <row r="20" customFormat="false" ht="15" hidden="false" customHeight="false" outlineLevel="0" collapsed="false">
      <c r="A20" s="25" t="s">
        <v>143</v>
      </c>
    </row>
    <row r="21" customFormat="false" ht="15" hidden="false" customHeight="false" outlineLevel="0" collapsed="false">
      <c r="A21" s="5" t="s">
        <v>144</v>
      </c>
      <c r="B21" s="5" t="s">
        <v>126</v>
      </c>
      <c r="C21" s="5" t="s">
        <v>125</v>
      </c>
      <c r="D21" s="5" t="s">
        <v>124</v>
      </c>
    </row>
    <row r="22" customFormat="false" ht="15" hidden="false" customHeight="false" outlineLevel="0" collapsed="false">
      <c r="A22" s="7" t="s">
        <v>124</v>
      </c>
      <c r="B22" s="26" t="n">
        <f aca="false">COUNTIFS(Fiche!$X$6:$X$45,3,Fiche!$Z$6:$Z$45,1)</f>
        <v>1</v>
      </c>
      <c r="C22" s="26" t="n">
        <f aca="false">COUNTIFS(Fiche!$X$6:$X$45,3,Fiche!$Z$6:$Z$45,2)</f>
        <v>0</v>
      </c>
      <c r="D22" s="26" t="n">
        <f aca="false">COUNTIFS(Fiche!$X$6:$X$45,3,Fiche!$Z$6:$Z$45,3)</f>
        <v>0</v>
      </c>
    </row>
    <row r="23" customFormat="false" ht="15" hidden="false" customHeight="false" outlineLevel="0" collapsed="false">
      <c r="A23" s="7" t="s">
        <v>125</v>
      </c>
      <c r="B23" s="26" t="n">
        <f aca="false">COUNTIFS(Fiche!$X$6:$X$45,2,Fiche!$Z$6:$Z$45,1)</f>
        <v>0</v>
      </c>
      <c r="C23" s="26" t="n">
        <f aca="false">COUNTIFS(Fiche!$X$6:$X$45,2,Fiche!$Z$6:$Z$45,2)</f>
        <v>0</v>
      </c>
      <c r="D23" s="26" t="n">
        <f aca="false">COUNTIFS(Fiche!$X$6:$X$45,2,Fiche!$Z$6:$Z$45,3)</f>
        <v>0</v>
      </c>
    </row>
    <row r="24" customFormat="false" ht="15" hidden="false" customHeight="false" outlineLevel="0" collapsed="false">
      <c r="A24" s="7" t="s">
        <v>126</v>
      </c>
      <c r="B24" s="26" t="n">
        <f aca="false">COUNTIFS(Fiche!$X$6:$X$45,1,Fiche!$Z$6:$Z$45,1)</f>
        <v>0</v>
      </c>
      <c r="C24" s="26" t="n">
        <f aca="false">COUNTIFS(Fiche!$X$6:$X$45,1,Fiche!$Z$6:$Z$45,2)</f>
        <v>0</v>
      </c>
      <c r="D24" s="26" t="n">
        <f aca="false">COUNTIFS(Fiche!$X$6:$X$45,1,Fiche!$Z$6:$Z$45,3)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40"/>
  </cols>
  <sheetData>
    <row r="1" customFormat="false" ht="17.35" hidden="false" customHeight="false" outlineLevel="0" collapsed="false">
      <c r="A1" s="1" t="s">
        <v>145</v>
      </c>
    </row>
    <row r="3" customFormat="false" ht="15" hidden="false" customHeight="false" outlineLevel="0" collapsed="false">
      <c r="A3" s="28" t="s">
        <v>146</v>
      </c>
    </row>
    <row r="4" customFormat="false" ht="15" hidden="false" customHeight="false" outlineLevel="0" collapsed="false">
      <c r="A4" s="29" t="n">
        <v>1</v>
      </c>
      <c r="B4" s="30" t="s">
        <v>126</v>
      </c>
    </row>
    <row r="5" customFormat="false" ht="15" hidden="false" customHeight="false" outlineLevel="0" collapsed="false">
      <c r="A5" s="29" t="n">
        <v>2</v>
      </c>
      <c r="B5" s="30" t="s">
        <v>125</v>
      </c>
    </row>
    <row r="6" customFormat="false" ht="15" hidden="false" customHeight="false" outlineLevel="0" collapsed="false">
      <c r="A6" s="29" t="n">
        <v>3</v>
      </c>
      <c r="B6" s="30" t="s">
        <v>124</v>
      </c>
    </row>
    <row r="8" customFormat="false" ht="15" hidden="false" customHeight="false" outlineLevel="0" collapsed="false">
      <c r="A8" s="28" t="s">
        <v>147</v>
      </c>
    </row>
    <row r="9" customFormat="false" ht="15" hidden="false" customHeight="false" outlineLevel="0" collapsed="false">
      <c r="A9" s="29" t="n">
        <v>1</v>
      </c>
      <c r="B9" s="30" t="s">
        <v>126</v>
      </c>
    </row>
    <row r="10" customFormat="false" ht="15" hidden="false" customHeight="false" outlineLevel="0" collapsed="false">
      <c r="A10" s="29" t="n">
        <v>2</v>
      </c>
      <c r="B10" s="30" t="s">
        <v>148</v>
      </c>
    </row>
    <row r="11" customFormat="false" ht="15" hidden="false" customHeight="false" outlineLevel="0" collapsed="false">
      <c r="A11" s="29" t="n">
        <v>3</v>
      </c>
      <c r="B11" s="30" t="s">
        <v>149</v>
      </c>
    </row>
    <row r="13" customFormat="false" ht="15" hidden="false" customHeight="false" outlineLevel="0" collapsed="false">
      <c r="A13" s="28" t="s">
        <v>150</v>
      </c>
    </row>
    <row r="14" customFormat="false" ht="15" hidden="false" customHeight="false" outlineLevel="0" collapsed="false">
      <c r="A14" s="29" t="s">
        <v>151</v>
      </c>
      <c r="B14" s="31" t="n">
        <v>2.5</v>
      </c>
    </row>
    <row r="15" customFormat="false" ht="15" hidden="false" customHeight="false" outlineLevel="0" collapsed="false">
      <c r="A15" s="29" t="s">
        <v>152</v>
      </c>
      <c r="B15" s="31" t="n">
        <v>1.75</v>
      </c>
    </row>
    <row r="17" customFormat="false" ht="15" hidden="false" customHeight="false" outlineLevel="0" collapsed="false">
      <c r="A17" s="28" t="s">
        <v>153</v>
      </c>
    </row>
    <row r="18" customFormat="false" ht="15" hidden="false" customHeight="false" outlineLevel="0" collapsed="false">
      <c r="A18" s="29" t="n">
        <v>1</v>
      </c>
      <c r="B18" s="30" t="s">
        <v>140</v>
      </c>
    </row>
    <row r="19" customFormat="false" ht="15" hidden="false" customHeight="false" outlineLevel="0" collapsed="false">
      <c r="A19" s="29" t="n">
        <v>2</v>
      </c>
      <c r="B19" s="30" t="s">
        <v>139</v>
      </c>
    </row>
    <row r="20" customFormat="false" ht="15" hidden="false" customHeight="false" outlineLevel="0" collapsed="false">
      <c r="A20" s="29" t="n">
        <v>3</v>
      </c>
      <c r="B20" s="30" t="s">
        <v>138</v>
      </c>
    </row>
    <row r="21" customFormat="false" ht="15" hidden="false" customHeight="false" outlineLevel="0" collapsed="false">
      <c r="A21" s="29" t="n">
        <v>4</v>
      </c>
      <c r="B21" s="30" t="s">
        <v>137</v>
      </c>
    </row>
    <row r="22" customFormat="false" ht="15" hidden="false" customHeight="false" outlineLevel="0" collapsed="false">
      <c r="A22" s="29" t="n">
        <v>5</v>
      </c>
      <c r="B22" s="30" t="s">
        <v>136</v>
      </c>
    </row>
    <row r="24" customFormat="false" ht="15" hidden="false" customHeight="false" outlineLevel="0" collapsed="false">
      <c r="A24" s="28" t="s">
        <v>154</v>
      </c>
    </row>
    <row r="25" customFormat="false" ht="15" hidden="false" customHeight="false" outlineLevel="0" collapsed="false">
      <c r="B25" s="5" t="s">
        <v>126</v>
      </c>
      <c r="C25" s="5" t="s">
        <v>125</v>
      </c>
      <c r="D25" s="5" t="s">
        <v>124</v>
      </c>
    </row>
    <row r="26" customFormat="false" ht="15" hidden="false" customHeight="false" outlineLevel="0" collapsed="false">
      <c r="A26" s="28" t="s">
        <v>126</v>
      </c>
      <c r="B26" s="32" t="s">
        <v>140</v>
      </c>
      <c r="C26" s="32" t="s">
        <v>139</v>
      </c>
      <c r="D26" s="32" t="s">
        <v>138</v>
      </c>
    </row>
    <row r="27" customFormat="false" ht="15" hidden="false" customHeight="false" outlineLevel="0" collapsed="false">
      <c r="A27" s="28" t="s">
        <v>125</v>
      </c>
      <c r="B27" s="32" t="s">
        <v>139</v>
      </c>
      <c r="C27" s="32" t="s">
        <v>138</v>
      </c>
      <c r="D27" s="32" t="s">
        <v>137</v>
      </c>
    </row>
    <row r="28" customFormat="false" ht="15" hidden="false" customHeight="false" outlineLevel="0" collapsed="false">
      <c r="A28" s="28" t="s">
        <v>124</v>
      </c>
      <c r="B28" s="32" t="s">
        <v>138</v>
      </c>
      <c r="C28" s="32" t="s">
        <v>137</v>
      </c>
      <c r="D28" s="32" t="s">
        <v>136</v>
      </c>
    </row>
    <row r="30" customFormat="false" ht="15" hidden="false" customHeight="false" outlineLevel="0" collapsed="false">
      <c r="A30" s="28" t="s">
        <v>155</v>
      </c>
    </row>
    <row r="31" customFormat="false" ht="27.75" hidden="false" customHeight="true" outlineLevel="0" collapsed="false">
      <c r="A31" s="33" t="s">
        <v>156</v>
      </c>
      <c r="B31" s="34" t="s">
        <v>157</v>
      </c>
      <c r="C31" s="34"/>
      <c r="D31" s="34"/>
    </row>
    <row r="32" customFormat="false" ht="27.75" hidden="false" customHeight="true" outlineLevel="0" collapsed="false">
      <c r="A32" s="33" t="s">
        <v>158</v>
      </c>
      <c r="B32" s="34" t="s">
        <v>159</v>
      </c>
      <c r="C32" s="34"/>
      <c r="D32" s="34"/>
    </row>
    <row r="33" customFormat="false" ht="27.75" hidden="false" customHeight="true" outlineLevel="0" collapsed="false">
      <c r="A33" s="33" t="s">
        <v>127</v>
      </c>
      <c r="B33" s="34" t="s">
        <v>160</v>
      </c>
      <c r="C33" s="34"/>
      <c r="D33" s="34"/>
    </row>
    <row r="34" customFormat="false" ht="27.75" hidden="false" customHeight="true" outlineLevel="0" collapsed="false">
      <c r="A34" s="33" t="s">
        <v>161</v>
      </c>
      <c r="B34" s="34" t="s">
        <v>162</v>
      </c>
      <c r="C34" s="34"/>
      <c r="D34" s="34"/>
    </row>
    <row r="35" customFormat="false" ht="15" hidden="false" customHeight="false" outlineLevel="0" collapsed="false">
      <c r="A35" s="2" t="s">
        <v>163</v>
      </c>
    </row>
    <row r="37" customFormat="false" ht="15" hidden="false" customHeight="false" outlineLevel="0" collapsed="false">
      <c r="A37" s="28" t="s">
        <v>164</v>
      </c>
    </row>
    <row r="38" customFormat="false" ht="15" hidden="false" customHeight="false" outlineLevel="0" collapsed="false">
      <c r="B38" s="30" t="s">
        <v>67</v>
      </c>
    </row>
    <row r="39" customFormat="false" ht="15" hidden="false" customHeight="false" outlineLevel="0" collapsed="false">
      <c r="B39" s="30" t="s">
        <v>71</v>
      </c>
    </row>
    <row r="40" customFormat="false" ht="15" hidden="false" customHeight="false" outlineLevel="0" collapsed="false">
      <c r="B40" s="30" t="s">
        <v>75</v>
      </c>
    </row>
    <row r="41" customFormat="false" ht="15" hidden="false" customHeight="false" outlineLevel="0" collapsed="false">
      <c r="B41" s="30" t="s">
        <v>79</v>
      </c>
    </row>
    <row r="42" customFormat="false" ht="15" hidden="false" customHeight="false" outlineLevel="0" collapsed="false">
      <c r="B42" s="30" t="s">
        <v>83</v>
      </c>
    </row>
    <row r="44" customFormat="false" ht="15" hidden="false" customHeight="false" outlineLevel="0" collapsed="false">
      <c r="A44" s="28" t="s">
        <v>165</v>
      </c>
    </row>
    <row r="45" customFormat="false" ht="15" hidden="false" customHeight="false" outlineLevel="0" collapsed="false">
      <c r="B45" s="30" t="s">
        <v>166</v>
      </c>
    </row>
    <row r="46" customFormat="false" ht="15" hidden="false" customHeight="false" outlineLevel="0" collapsed="false">
      <c r="B46" s="30" t="s">
        <v>167</v>
      </c>
    </row>
    <row r="47" customFormat="false" ht="15" hidden="false" customHeight="false" outlineLevel="0" collapsed="false">
      <c r="B47" s="30" t="s">
        <v>138</v>
      </c>
    </row>
    <row r="48" customFormat="false" ht="15" hidden="false" customHeight="false" outlineLevel="0" collapsed="false">
      <c r="B48" s="30" t="s">
        <v>130</v>
      </c>
    </row>
    <row r="50" customFormat="false" ht="15" hidden="false" customHeight="false" outlineLevel="0" collapsed="false">
      <c r="A50" s="28" t="s">
        <v>168</v>
      </c>
    </row>
    <row r="51" customFormat="false" ht="15" hidden="false" customHeight="false" outlineLevel="0" collapsed="false">
      <c r="A51" s="5" t="s">
        <v>169</v>
      </c>
      <c r="B51" s="5" t="s">
        <v>126</v>
      </c>
      <c r="C51" s="5" t="s">
        <v>125</v>
      </c>
      <c r="D51" s="5" t="s">
        <v>124</v>
      </c>
    </row>
    <row r="52" customFormat="false" ht="42" hidden="false" customHeight="true" outlineLevel="0" collapsed="false">
      <c r="A52" s="7" t="s">
        <v>103</v>
      </c>
      <c r="B52" s="8" t="s">
        <v>170</v>
      </c>
      <c r="C52" s="8" t="s">
        <v>171</v>
      </c>
      <c r="D52" s="8" t="s">
        <v>172</v>
      </c>
    </row>
    <row r="53" customFormat="false" ht="42" hidden="false" customHeight="true" outlineLevel="0" collapsed="false">
      <c r="A53" s="7" t="s">
        <v>104</v>
      </c>
      <c r="B53" s="8" t="s">
        <v>173</v>
      </c>
      <c r="C53" s="8" t="s">
        <v>174</v>
      </c>
      <c r="D53" s="8" t="s">
        <v>175</v>
      </c>
    </row>
    <row r="54" customFormat="false" ht="42" hidden="false" customHeight="true" outlineLevel="0" collapsed="false">
      <c r="A54" s="7" t="s">
        <v>105</v>
      </c>
      <c r="B54" s="8" t="s">
        <v>176</v>
      </c>
      <c r="C54" s="8" t="s">
        <v>177</v>
      </c>
      <c r="D54" s="8" t="s">
        <v>178</v>
      </c>
    </row>
  </sheetData>
  <mergeCells count="4">
    <mergeCell ref="B31:D31"/>
    <mergeCell ref="B32:D32"/>
    <mergeCell ref="B33:D33"/>
    <mergeCell ref="B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2026-10-14T10:08:29Z</dcterms:created>
  <dc:creator>openpyxl</dc:creator>
  <dc:description/>
  <dc:language>en-US</dc:language>
  <cp:lastModifiedBy/>
  <dcterms:modified xsi:type="dcterms:W3CDTF">2026-10-14T10:08:29Z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